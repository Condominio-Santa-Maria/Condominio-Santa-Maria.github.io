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<sst xmlns="http://schemas.openxmlformats.org/spreadsheetml/2006/main" count="361" uniqueCount="202">
  <si>
    <t>CONDOMINIO</t>
  </si>
  <si>
    <t>SANTA MARIA</t>
  </si>
  <si>
    <t>INFORME ECONOMICO</t>
  </si>
  <si>
    <t>Correspondiente al mes de Febrero/2024</t>
  </si>
  <si>
    <t>INGRESOS</t>
  </si>
  <si>
    <t>Saldo del mes anterior</t>
  </si>
  <si>
    <t>Saldo en efectivo</t>
  </si>
  <si>
    <t>Expensas febrero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</si>
  <si>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</si>
  <si>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</si>
  <si>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</si>
  <si>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</si>
  <si>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</si>
  <si>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</si>
  <si>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</si>
  <si>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</si>
  <si>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</si>
  <si>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</si>
  <si>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SAGUAPAC febrero/24</t>
  </si>
  <si>
    <t>CRE febrero/24</t>
  </si>
  <si>
    <t>Internet enero/24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</si>
  <si>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</si>
  <si>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</si>
  <si>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</si>
  <si>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</si>
  <si>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</si>
  <si>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</si>
  <si>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</si>
  <si>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</si>
  <si>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29 de febrero/23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</si>
  <si>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</si>
  <si>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</si>
  <si>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</si>
  <si>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</si>
  <si>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</si>
  <si>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febrero/24</t>
  </si>
  <si>
    <t>Nº</t>
  </si>
  <si>
    <t>Fecha</t>
  </si>
  <si>
    <t>Viviente</t>
  </si>
  <si>
    <t>Depto</t>
  </si>
  <si>
    <t>Recibo Nº</t>
  </si>
  <si>
    <t>Detalle de pago</t>
  </si>
  <si>
    <t>Exp Bs.</t>
  </si>
  <si>
    <t>Cecilia Escribano</t>
  </si>
  <si>
    <t>Expensas de enero/24</t>
  </si>
  <si>
    <t>Cristhian Vega</t>
  </si>
  <si>
    <t>Expensas de enero/24; Quinta cuota extraordinaria</t>
  </si>
  <si>
    <t>Yenny Perrogon</t>
  </si>
  <si>
    <t>Expensas de febrero/24</t>
  </si>
  <si>
    <t>Rosa Carrero</t>
  </si>
  <si>
    <t>Quinta cuota extraordinaria</t>
  </si>
  <si>
    <t>Edith Loma</t>
  </si>
  <si>
    <t>Expensas de febrero/24; cuarta cuota extraordinaria</t>
  </si>
  <si>
    <t>Ariel Ortega</t>
  </si>
  <si>
    <t>Edgar Romero</t>
  </si>
  <si>
    <t>Daniela Hurtado</t>
  </si>
  <si>
    <t>Milka Barrientos</t>
  </si>
  <si>
    <t>Roxana Añez de Payo</t>
  </si>
  <si>
    <t>Maria Norah Zubieta</t>
  </si>
  <si>
    <t>Lorena Landivar</t>
  </si>
  <si>
    <t>Victor Hugo Inchausty</t>
  </si>
  <si>
    <t>Expensas de marzo/24; quinta cuota extraordinaria</t>
  </si>
  <si>
    <t>Andres Aguilera</t>
  </si>
  <si>
    <t>Expensas de enero/24, a cuenta de febrero 150 bs; quinta cuota extra</t>
  </si>
  <si>
    <t>Miguel Duran</t>
  </si>
  <si>
    <t>Jorge Armando Siles</t>
  </si>
  <si>
    <t>Alquiler de la terraza</t>
  </si>
  <si>
    <t>Carmen Sonia Añez</t>
  </si>
  <si>
    <t>Carolina Bejar</t>
  </si>
  <si>
    <t>Expensa de febrero/24, a cuenta de marzo 150 bs; sexta cuota extraor</t>
  </si>
  <si>
    <t>Julia Colomo</t>
  </si>
  <si>
    <t>Primer pago de la cuota extraordinaria</t>
  </si>
  <si>
    <t>Urzula Echazú</t>
  </si>
  <si>
    <t>3ra Cuota extraordinaria</t>
  </si>
  <si>
    <t>Jorge Siles</t>
  </si>
  <si>
    <t>Jimena Villarraga</t>
  </si>
  <si>
    <t>Wendy Davila</t>
  </si>
  <si>
    <t>Expensas de octubre/23; 2da cuota extraordinaria</t>
  </si>
  <si>
    <t>204/603</t>
  </si>
  <si>
    <t>2da cuota extraoridinaria departamentos 204 y 603</t>
  </si>
  <si>
    <t>Paola Gomez</t>
  </si>
  <si>
    <t>Eliani Añez de Suarez</t>
  </si>
  <si>
    <t>Expensas de noviembre y diciembre/23; Enero y febrero/24 segunda cuota extraordinaria</t>
  </si>
  <si>
    <t>Oscar Betancourt</t>
  </si>
  <si>
    <t>Expensas de diciembre/23, enero y febrero/24; 3 cuotas extraordinarias</t>
  </si>
  <si>
    <t>Viviana Miranda</t>
  </si>
  <si>
    <t>Expensas gestion 2024 y gestión 2025 (cancelado hasta diciembre 2025)</t>
  </si>
  <si>
    <t>Juan Pablo Alvarado</t>
  </si>
  <si>
    <t>5ta Cuota extraordinaria</t>
  </si>
  <si>
    <t>Romy Moreno</t>
  </si>
  <si>
    <t>Expensas de diciembre/23y  enero24</t>
  </si>
  <si>
    <t>3ra, 4ta y 5ta cuota extraordinaria</t>
  </si>
  <si>
    <t>Romana Barbery</t>
  </si>
  <si>
    <t>Carolina Inturias</t>
  </si>
  <si>
    <t>Total Bs.</t>
  </si>
  <si>
    <t>Informe de egresos correspondiente a febrero/2024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</si>
  <si>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</si>
  <si>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</si>
  <si>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</si>
  <si>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</si>
  <si>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</si>
  <si>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</si>
  <si>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</si>
  <si>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</si>
  <si>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Internet Entel enero/24</t>
  </si>
  <si>
    <t>Gastos Administración</t>
  </si>
  <si>
    <t>Administración enero/24</t>
  </si>
  <si>
    <t>Entrega de las tapas para los niños con cancer oncologico, transporte</t>
  </si>
  <si>
    <t>Gastos Limpieza</t>
  </si>
  <si>
    <t>Limpieza Cleaning Full enero/24</t>
  </si>
  <si>
    <t>Compra del material de limpieza</t>
  </si>
  <si>
    <t xml:space="preserve">Transportes por compra de material de limpieza </t>
  </si>
  <si>
    <t>Gastos porteria</t>
  </si>
  <si>
    <t>Porteria CyP Multiservicios enero/24</t>
  </si>
  <si>
    <t>19761 - 20485 - 20754 - 21075</t>
  </si>
  <si>
    <t>Compra de bidones de agua</t>
  </si>
  <si>
    <t>Compra de tarjeta Entel de 10 Bs</t>
  </si>
  <si>
    <t>Mantenimiento piscina</t>
  </si>
  <si>
    <t>Mantenimiento de piscina AQUACENTER enero/24</t>
  </si>
  <si>
    <t>Gastos mantenimiento elevadodores</t>
  </si>
  <si>
    <t>INTERLOGI mantenimiento de elevadores enero/24</t>
  </si>
  <si>
    <t xml:space="preserve">IMECAG, mantenimiento y reparación de 2 modulos de control de pulsadores </t>
  </si>
  <si>
    <t>Gastos mantenimiento del edificio</t>
  </si>
  <si>
    <t>Compra de veneno para fumigación del deposito y garajes hierba y transporte</t>
  </si>
  <si>
    <t xml:space="preserve">Compra de fumigadora de 12 lts </t>
  </si>
  <si>
    <t>Arreglo filtración del lado de la piscina ,limpieza de desague de edificio, pago final del arreglo del departamento 1001</t>
  </si>
  <si>
    <t>Rrefacción de piso de la ceramica de la terraza la churrasquera 70 ceramicas sueltas</t>
  </si>
  <si>
    <t>Compra de 3 bolsas de cemento cola arreglo piso de la terraza 150 ceramicas sueltas</t>
  </si>
  <si>
    <t>Rrefacción de piso de la ceramica de la terraza la churrasquera 150 ceramicas sueltas</t>
  </si>
  <si>
    <t>Flotador para el tanque de ingreso de agua</t>
  </si>
  <si>
    <t>Alcides cambio de flotador mano de obra</t>
  </si>
  <si>
    <t>Rrefacción de piso de la ceramica de la terraza lado buleras</t>
  </si>
  <si>
    <t>Cemento cola con impermeablizante Sika</t>
  </si>
  <si>
    <t>Disco de desgaste, esmeril para corte de ceramicas</t>
  </si>
  <si>
    <t>Compra de 2 focos para elevadores y una pala para jardineria</t>
  </si>
  <si>
    <t>Transporte por compra de focos y cemento cola (27/02/24);transporte por compra de flotador (23/02/24); transporte por compra de cemento cola (28/02/24)</t>
  </si>
  <si>
    <t>Refacción de piso de la ceramica de la terraza lado churrasquera, primer pago de 250 bs cotizados (se le debe 40 bs de la compra del; 150bs saldo pago refacción )</t>
  </si>
  <si>
    <t>Gastos de mantenimiento de jardines</t>
  </si>
  <si>
    <t>compra de pita para podar jardin, podadora electrica</t>
  </si>
  <si>
    <t xml:space="preserve">Total </t>
  </si>
  <si>
    <t>Expensas Febrero/24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</si>
  <si>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</si>
  <si>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</si>
  <si>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</si>
  <si>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</si>
  <si>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</si>
  <si>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</si>
  <si>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</si>
  <si>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</si>
  <si>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</si>
  <si>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</si>
  <si>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</si>
  <si>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</si>
  <si>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</si>
  <si>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</si>
  <si>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</si>
  <si>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</si>
  <si>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</si>
  <si>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</si>
  <si>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8.0"/>
      </rPr>
      <t>(con compromiso de pago)</t>
    </r>
  </si>
  <si>
    <t>x</t>
  </si>
  <si>
    <t>Ruddy Paz</t>
  </si>
  <si>
    <t>Jose Vilaguth</t>
  </si>
  <si>
    <t>Denhiz Soliz</t>
  </si>
  <si>
    <t>Vania Llanos</t>
  </si>
  <si>
    <t>Rosa Cordero</t>
  </si>
  <si>
    <t>Glora Vera Viaña</t>
  </si>
  <si>
    <t>Urzula Echazu</t>
  </si>
  <si>
    <t>Ana Gloria Ponce de Leon</t>
  </si>
  <si>
    <t>Oscar Diego Leaños</t>
  </si>
  <si>
    <t>Miguel Rivas/Veronica Rau</t>
  </si>
  <si>
    <t>Romana Barbery de Moreno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</si>
  <si>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</si>
  <si>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</si>
  <si>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</si>
  <si>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</si>
  <si>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</si>
  <si>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</si>
  <si>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</si>
  <si>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Carol Gainsborg</t>
  </si>
  <si>
    <t>Gabiela Lazzo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</si>
  <si>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</si>
  <si>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</si>
  <si>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</si>
  <si>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</si>
  <si>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</si>
  <si>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</si>
  <si>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</si>
  <si>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</si>
  <si>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</si>
  <si>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</si>
  <si>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</si>
  <si>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</si>
  <si>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</si>
  <si>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</si>
  <si>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</si>
  <si>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</si>
  <si>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</si>
  <si>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8.0"/>
      </rPr>
      <t>(con compromiso de pago)</t>
    </r>
  </si>
  <si>
    <t>Carlina Inturias</t>
  </si>
  <si>
    <t>Un solo pago al final</t>
  </si>
  <si>
    <t>un solo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</si>
</sst>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8.0"/>
      <color rgb="FFFF0000"/>
      <name val="Calibri"/>
    </font>
    <font>
      <sz val="8.0"/>
      <color rgb="FFFF0000"/>
      <name val="Calibri"/>
    </font>
    <font>
      <sz val="8.0"/>
      <color theme="1"/>
      <name val="Calibri"/>
      <scheme val="minor"/>
    </font>
    <font>
      <sz val="9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65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7" numFmtId="0" xfId="0" applyBorder="1" applyFont="1"/>
    <xf borderId="5" fillId="0" fontId="4" numFmtId="4" xfId="0" applyBorder="1" applyFont="1" applyNumberFormat="1"/>
    <xf borderId="2" fillId="0" fontId="8" numFmtId="0" xfId="0" applyAlignment="1" applyBorder="1" applyFont="1">
      <alignment horizontal="left"/>
    </xf>
    <xf borderId="5" fillId="0" fontId="8" numFmtId="4" xfId="0" applyBorder="1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 vertical="center"/>
    </xf>
    <xf borderId="11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shrinkToFit="0" vertical="center" wrapText="1"/>
    </xf>
    <xf borderId="12" fillId="0" fontId="12" numFmtId="4" xfId="0" applyAlignment="1" applyBorder="1" applyFont="1" applyNumberFormat="1">
      <alignment horizontal="center" vertical="center"/>
    </xf>
    <xf borderId="13" fillId="0" fontId="12" numFmtId="4" xfId="0" applyAlignment="1" applyBorder="1" applyFont="1" applyNumberFormat="1">
      <alignment horizontal="center" vertical="center"/>
    </xf>
    <xf borderId="14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5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shrinkToFit="1" vertical="center" wrapText="0"/>
    </xf>
    <xf borderId="16" fillId="0" fontId="15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16" fillId="0" fontId="12" numFmtId="4" xfId="0" applyAlignment="1" applyBorder="1" applyFont="1" applyNumberFormat="1">
      <alignment horizontal="center" vertical="center"/>
    </xf>
    <xf borderId="17" fillId="0" fontId="12" numFmtId="4" xfId="0" applyAlignment="1" applyBorder="1" applyFont="1" applyNumberFormat="1">
      <alignment horizontal="center" vertical="center"/>
    </xf>
    <xf borderId="18" fillId="0" fontId="12" numFmtId="4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5" fillId="0" fontId="12" numFmtId="4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vertical="center"/>
    </xf>
    <xf borderId="19" fillId="0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21" fillId="0" fontId="12" numFmtId="4" xfId="0" applyAlignment="1" applyBorder="1" applyFont="1" applyNumberFormat="1">
      <alignment vertical="center"/>
    </xf>
    <xf borderId="22" fillId="0" fontId="12" numFmtId="0" xfId="0" applyAlignment="1" applyBorder="1" applyFont="1">
      <alignment horizontal="center" vertical="center"/>
    </xf>
    <xf borderId="23" fillId="0" fontId="12" numFmtId="4" xfId="0" applyAlignment="1" applyBorder="1" applyFont="1" applyNumberFormat="1">
      <alignment horizontal="center" vertical="center"/>
    </xf>
    <xf borderId="24" fillId="0" fontId="12" numFmtId="4" xfId="0" applyAlignment="1" applyBorder="1" applyFont="1" applyNumberFormat="1">
      <alignment vertical="center"/>
    </xf>
    <xf borderId="25" fillId="0" fontId="13" numFmtId="14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shrinkToFit="1" vertical="center" wrapText="0"/>
    </xf>
    <xf borderId="25" fillId="0" fontId="14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shrinkToFit="0" vertical="center" wrapText="1"/>
    </xf>
    <xf borderId="19" fillId="0" fontId="12" numFmtId="4" xfId="0" applyAlignment="1" applyBorder="1" applyFont="1" applyNumberFormat="1">
      <alignment horizontal="center" vertical="center"/>
    </xf>
    <xf borderId="26" fillId="0" fontId="12" numFmtId="0" xfId="0" applyAlignment="1" applyBorder="1" applyFont="1">
      <alignment horizontal="center" vertical="center"/>
    </xf>
    <xf borderId="27" fillId="0" fontId="13" numFmtId="14" xfId="0" applyAlignment="1" applyBorder="1" applyFont="1" applyNumberFormat="1">
      <alignment horizontal="center" vertical="center"/>
    </xf>
    <xf borderId="27" fillId="0" fontId="13" numFmtId="0" xfId="0" applyAlignment="1" applyBorder="1" applyFont="1">
      <alignment vertical="center"/>
    </xf>
    <xf borderId="27" fillId="0" fontId="14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shrinkToFit="0" vertical="center" wrapText="1"/>
    </xf>
    <xf borderId="27" fillId="0" fontId="12" numFmtId="4" xfId="0" applyAlignment="1" applyBorder="1" applyFont="1" applyNumberFormat="1">
      <alignment horizontal="center" vertical="center"/>
    </xf>
    <xf borderId="29" fillId="0" fontId="12" numFmtId="4" xfId="0" applyAlignment="1" applyBorder="1" applyFont="1" applyNumberFormat="1">
      <alignment horizontal="center" vertical="center"/>
    </xf>
    <xf borderId="30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31" fillId="0" fontId="16" numFmtId="0" xfId="0" applyAlignment="1" applyBorder="1" applyFont="1">
      <alignment horizontal="center" vertical="center"/>
    </xf>
    <xf borderId="32" fillId="0" fontId="11" numFmtId="4" xfId="0" applyAlignment="1" applyBorder="1" applyFont="1" applyNumberFormat="1">
      <alignment vertical="center"/>
    </xf>
    <xf borderId="32" fillId="0" fontId="1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3" fillId="0" fontId="7" numFmtId="0" xfId="0" applyBorder="1" applyFont="1"/>
    <xf borderId="34" fillId="0" fontId="11" numFmtId="4" xfId="0" applyAlignment="1" applyBorder="1" applyFont="1" applyNumberFormat="1">
      <alignment horizontal="center" vertical="center"/>
    </xf>
    <xf borderId="34" fillId="0" fontId="7" numFmtId="0" xfId="0" applyBorder="1" applyFont="1"/>
    <xf borderId="35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36" fillId="0" fontId="21" numFmtId="0" xfId="0" applyAlignment="1" applyBorder="1" applyFont="1">
      <alignment horizontal="center" shrinkToFit="0" vertical="center" wrapText="1"/>
    </xf>
    <xf borderId="37" fillId="0" fontId="21" numFmtId="0" xfId="0" applyAlignment="1" applyBorder="1" applyFont="1">
      <alignment horizontal="center" shrinkToFit="0" vertical="center" wrapText="1"/>
    </xf>
    <xf borderId="37" fillId="0" fontId="21" numFmtId="0" xfId="0" applyAlignment="1" applyBorder="1" applyFont="1">
      <alignment horizontal="center" vertical="center"/>
    </xf>
    <xf borderId="38" fillId="0" fontId="21" numFmtId="0" xfId="0" applyAlignment="1" applyBorder="1" applyFont="1">
      <alignment horizontal="center" vertical="center"/>
    </xf>
    <xf borderId="39" fillId="0" fontId="7" numFmtId="0" xfId="0" applyBorder="1" applyFont="1"/>
    <xf borderId="32" fillId="0" fontId="7" numFmtId="0" xfId="0" applyBorder="1" applyFont="1"/>
    <xf borderId="6" fillId="0" fontId="21" numFmtId="0" xfId="0" applyAlignment="1" applyBorder="1" applyFont="1">
      <alignment horizontal="center" vertical="center"/>
    </xf>
    <xf borderId="36" fillId="0" fontId="22" numFmtId="0" xfId="0" applyAlignment="1" applyBorder="1" applyFont="1">
      <alignment horizontal="center" shrinkToFit="0" vertical="center" wrapText="1"/>
    </xf>
    <xf borderId="40" fillId="0" fontId="23" numFmtId="0" xfId="0" applyAlignment="1" applyBorder="1" applyFont="1">
      <alignment horizontal="center" shrinkToFit="0" vertical="center" wrapText="1"/>
    </xf>
    <xf borderId="40" fillId="0" fontId="23" numFmtId="14" xfId="0" applyAlignment="1" applyBorder="1" applyFont="1" applyNumberFormat="1">
      <alignment horizontal="center" shrinkToFit="0" vertical="center" wrapText="1"/>
    </xf>
    <xf borderId="10" fillId="0" fontId="23" numFmtId="0" xfId="0" applyAlignment="1" applyBorder="1" applyFont="1">
      <alignment vertical="center"/>
    </xf>
    <xf borderId="41" fillId="0" fontId="23" numFmtId="4" xfId="0" applyAlignment="1" applyBorder="1" applyFont="1" applyNumberFormat="1">
      <alignment horizontal="right" vertical="center"/>
    </xf>
    <xf borderId="39" fillId="0" fontId="22" numFmtId="4" xfId="0" applyAlignment="1" applyBorder="1" applyFont="1" applyNumberFormat="1">
      <alignment horizontal="center" vertical="center"/>
    </xf>
    <xf borderId="31" fillId="0" fontId="7" numFmtId="0" xfId="0" applyBorder="1" applyFont="1"/>
    <xf borderId="42" fillId="0" fontId="23" numFmtId="0" xfId="0" applyAlignment="1" applyBorder="1" applyFont="1">
      <alignment horizontal="center" shrinkToFit="0" vertical="center" wrapText="1"/>
    </xf>
    <xf borderId="42" fillId="0" fontId="23" numFmtId="14" xfId="0" applyAlignment="1" applyBorder="1" applyFont="1" applyNumberFormat="1">
      <alignment horizontal="center" shrinkToFit="0" vertical="center" wrapText="1"/>
    </xf>
    <xf borderId="15" fillId="0" fontId="23" numFmtId="0" xfId="0" applyAlignment="1" applyBorder="1" applyFont="1">
      <alignment vertical="center"/>
    </xf>
    <xf borderId="43" fillId="0" fontId="23" numFmtId="4" xfId="0" applyAlignment="1" applyBorder="1" applyFont="1" applyNumberFormat="1">
      <alignment horizontal="right" vertical="center"/>
    </xf>
    <xf borderId="44" fillId="0" fontId="7" numFmtId="0" xfId="0" applyBorder="1" applyFont="1"/>
    <xf borderId="45" fillId="0" fontId="23" numFmtId="0" xfId="0" applyAlignment="1" applyBorder="1" applyFont="1">
      <alignment horizontal="center" shrinkToFit="0" vertical="center" wrapText="1"/>
    </xf>
    <xf borderId="45" fillId="0" fontId="23" numFmtId="14" xfId="0" applyAlignment="1" applyBorder="1" applyFont="1" applyNumberFormat="1">
      <alignment horizontal="center" shrinkToFit="0" vertical="center" wrapText="1"/>
    </xf>
    <xf borderId="26" fillId="0" fontId="23" numFmtId="0" xfId="0" applyAlignment="1" applyBorder="1" applyFont="1">
      <alignment vertical="center"/>
    </xf>
    <xf borderId="46" fillId="0" fontId="23" numFmtId="4" xfId="0" applyAlignment="1" applyBorder="1" applyFont="1" applyNumberFormat="1">
      <alignment horizontal="right" vertical="center"/>
    </xf>
    <xf borderId="15" fillId="0" fontId="23" numFmtId="0" xfId="0" applyAlignment="1" applyBorder="1" applyFont="1">
      <alignment shrinkToFit="0" vertical="center" wrapText="1"/>
    </xf>
    <xf borderId="37" fillId="0" fontId="22" numFmtId="0" xfId="0" applyAlignment="1" applyBorder="1" applyFont="1">
      <alignment horizontal="center" shrinkToFit="0" vertical="center" wrapText="1"/>
    </xf>
    <xf borderId="47" fillId="0" fontId="7" numFmtId="0" xfId="0" applyBorder="1" applyFont="1"/>
    <xf borderId="42" fillId="0" fontId="23" numFmtId="0" xfId="0" applyAlignment="1" applyBorder="1" applyFont="1">
      <alignment horizontal="center" vertical="center"/>
    </xf>
    <xf borderId="42" fillId="0" fontId="23" numFmtId="14" xfId="0" applyAlignment="1" applyBorder="1" applyFont="1" applyNumberFormat="1">
      <alignment horizontal="center" vertical="center"/>
    </xf>
    <xf borderId="26" fillId="0" fontId="23" numFmtId="0" xfId="0" applyAlignment="1" applyBorder="1" applyFont="1">
      <alignment shrinkToFit="0" vertical="center" wrapText="1"/>
    </xf>
    <xf borderId="37" fillId="0" fontId="23" numFmtId="0" xfId="0" applyAlignment="1" applyBorder="1" applyFont="1">
      <alignment horizontal="center" shrinkToFit="0" vertical="center" wrapText="1"/>
    </xf>
    <xf borderId="37" fillId="0" fontId="23" numFmtId="14" xfId="0" applyAlignment="1" applyBorder="1" applyFont="1" applyNumberFormat="1">
      <alignment horizontal="center" shrinkToFit="0" vertical="center" wrapText="1"/>
    </xf>
    <xf borderId="48" fillId="0" fontId="23" numFmtId="0" xfId="0" applyAlignment="1" applyBorder="1" applyFont="1">
      <alignment vertical="center"/>
    </xf>
    <xf borderId="39" fillId="0" fontId="23" numFmtId="4" xfId="0" applyAlignment="1" applyBorder="1" applyFont="1" applyNumberFormat="1">
      <alignment horizontal="right" vertical="center"/>
    </xf>
    <xf borderId="45" fillId="0" fontId="23" numFmtId="0" xfId="0" applyAlignment="1" applyBorder="1" applyFont="1">
      <alignment horizontal="center" vertical="center"/>
    </xf>
    <xf borderId="45" fillId="0" fontId="23" numFmtId="14" xfId="0" applyAlignment="1" applyBorder="1" applyFont="1" applyNumberFormat="1">
      <alignment horizontal="center" vertical="center"/>
    </xf>
    <xf borderId="47" fillId="0" fontId="22" numFmtId="0" xfId="0" applyAlignment="1" applyBorder="1" applyFont="1">
      <alignment horizontal="center" shrinkToFit="0" vertical="center" wrapText="1"/>
    </xf>
    <xf borderId="49" fillId="0" fontId="23" numFmtId="0" xfId="0" applyAlignment="1" applyBorder="1" applyFont="1">
      <alignment horizontal="center" shrinkToFit="0" vertical="center" wrapText="1"/>
    </xf>
    <xf borderId="49" fillId="0" fontId="23" numFmtId="14" xfId="0" applyAlignment="1" applyBorder="1" applyFont="1" applyNumberFormat="1">
      <alignment horizontal="center" shrinkToFit="0" vertical="center" wrapText="1"/>
    </xf>
    <xf borderId="20" fillId="0" fontId="23" numFmtId="0" xfId="0" applyAlignment="1" applyBorder="1" applyFont="1">
      <alignment shrinkToFit="0" vertical="center" wrapText="1"/>
    </xf>
    <xf borderId="50" fillId="0" fontId="23" numFmtId="4" xfId="0" applyAlignment="1" applyBorder="1" applyFont="1" applyNumberFormat="1">
      <alignment horizontal="right" vertical="center"/>
    </xf>
    <xf borderId="47" fillId="0" fontId="22" numFmtId="4" xfId="0" applyAlignment="1" applyBorder="1" applyFont="1" applyNumberFormat="1">
      <alignment horizontal="center" vertical="center"/>
    </xf>
    <xf borderId="47" fillId="0" fontId="23" numFmtId="0" xfId="0" applyAlignment="1" applyBorder="1" applyFont="1">
      <alignment horizontal="center" shrinkToFit="0" vertical="center" wrapText="1"/>
    </xf>
    <xf borderId="47" fillId="0" fontId="23" numFmtId="14" xfId="0" applyAlignment="1" applyBorder="1" applyFont="1" applyNumberFormat="1">
      <alignment horizontal="center" shrinkToFit="0" vertical="center" wrapText="1"/>
    </xf>
    <xf borderId="44" fillId="0" fontId="23" numFmtId="4" xfId="0" applyAlignment="1" applyBorder="1" applyFont="1" applyNumberFormat="1">
      <alignment horizontal="right" vertical="center"/>
    </xf>
    <xf borderId="51" fillId="0" fontId="23" numFmtId="0" xfId="0" applyAlignment="1" applyBorder="1" applyFont="1">
      <alignment horizontal="center" shrinkToFit="0" vertical="center" wrapText="1"/>
    </xf>
    <xf borderId="51" fillId="0" fontId="23" numFmtId="14" xfId="0" applyAlignment="1" applyBorder="1" applyFont="1" applyNumberFormat="1">
      <alignment horizontal="center" shrinkToFit="0" vertical="center" wrapText="1"/>
    </xf>
    <xf borderId="22" fillId="0" fontId="23" numFmtId="0" xfId="0" applyAlignment="1" applyBorder="1" applyFont="1">
      <alignment shrinkToFit="0" vertical="center" wrapText="1"/>
    </xf>
    <xf borderId="52" fillId="0" fontId="23" numFmtId="4" xfId="0" applyAlignment="1" applyBorder="1" applyFont="1" applyNumberFormat="1">
      <alignment horizontal="right" vertical="center"/>
    </xf>
    <xf borderId="53" fillId="0" fontId="23" numFmtId="0" xfId="0" applyAlignment="1" applyBorder="1" applyFont="1">
      <alignment shrinkToFit="0" vertical="center" wrapText="1"/>
    </xf>
    <xf borderId="31" fillId="0" fontId="22" numFmtId="0" xfId="0" applyAlignment="1" applyBorder="1" applyFont="1">
      <alignment horizontal="center" shrinkToFit="0" vertical="center" wrapText="1"/>
    </xf>
    <xf borderId="54" fillId="0" fontId="23" numFmtId="4" xfId="0" applyAlignment="1" applyBorder="1" applyFont="1" applyNumberFormat="1">
      <alignment horizontal="right" vertical="center"/>
    </xf>
    <xf borderId="32" fillId="0" fontId="23" numFmtId="0" xfId="0" applyAlignment="1" applyBorder="1" applyFont="1">
      <alignment horizontal="center" shrinkToFit="0" vertical="center" wrapText="1"/>
    </xf>
    <xf borderId="32" fillId="0" fontId="23" numFmtId="14" xfId="0" applyAlignment="1" applyBorder="1" applyFont="1" applyNumberFormat="1">
      <alignment horizontal="center" shrinkToFit="0" vertical="center" wrapText="1"/>
    </xf>
    <xf borderId="0" fillId="0" fontId="23" numFmtId="4" xfId="0" applyAlignment="1" applyFont="1" applyNumberFormat="1">
      <alignment horizontal="right"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55" fillId="0" fontId="22" numFmtId="0" xfId="0" applyAlignment="1" applyBorder="1" applyFont="1">
      <alignment horizontal="center" vertical="center"/>
    </xf>
    <xf borderId="9" fillId="0" fontId="7" numFmtId="0" xfId="0" applyBorder="1" applyFont="1"/>
    <xf borderId="8" fillId="0" fontId="22" numFmtId="4" xfId="0" applyAlignment="1" applyBorder="1" applyFont="1" applyNumberFormat="1">
      <alignment vertical="center"/>
    </xf>
    <xf borderId="34" fillId="0" fontId="21" numFmtId="0" xfId="0" applyAlignment="1" applyBorder="1" applyFont="1">
      <alignment horizontal="center"/>
    </xf>
    <xf borderId="6" fillId="0" fontId="22" numFmtId="0" xfId="0" applyAlignment="1" applyBorder="1" applyFont="1">
      <alignment horizontal="center" vertical="center"/>
    </xf>
    <xf borderId="55" fillId="0" fontId="24" numFmtId="0" xfId="0" applyAlignment="1" applyBorder="1" applyFont="1">
      <alignment horizontal="center" vertical="center"/>
    </xf>
    <xf borderId="37" fillId="0" fontId="24" numFmtId="4" xfId="0" applyAlignment="1" applyBorder="1" applyFont="1" applyNumberFormat="1">
      <alignment horizontal="center" vertical="center"/>
    </xf>
    <xf borderId="56" fillId="0" fontId="24" numFmtId="0" xfId="0" applyAlignment="1" applyBorder="1" applyFont="1">
      <alignment horizontal="center" vertical="center"/>
    </xf>
    <xf borderId="57" fillId="0" fontId="24" numFmtId="0" xfId="0" applyAlignment="1" applyBorder="1" applyFont="1">
      <alignment horizontal="center" vertical="center"/>
    </xf>
    <xf borderId="58" fillId="0" fontId="23" numFmtId="0" xfId="0" applyAlignment="1" applyBorder="1" applyFont="1">
      <alignment horizontal="center" vertical="center"/>
    </xf>
    <xf borderId="49" fillId="0" fontId="23" numFmtId="0" xfId="0" applyAlignment="1" applyBorder="1" applyFont="1">
      <alignment horizontal="center" vertical="center"/>
    </xf>
    <xf borderId="58" fillId="0" fontId="24" numFmtId="0" xfId="0" applyAlignment="1" applyBorder="1" applyFont="1">
      <alignment horizontal="left" vertical="center"/>
    </xf>
    <xf borderId="59" fillId="0" fontId="24" numFmtId="4" xfId="0" applyBorder="1" applyFont="1" applyNumberFormat="1"/>
    <xf borderId="40" fillId="0" fontId="24" numFmtId="4" xfId="0" applyBorder="1" applyFont="1" applyNumberFormat="1"/>
    <xf borderId="10" fillId="0" fontId="24" numFmtId="0" xfId="0" applyAlignment="1" applyBorder="1" applyFont="1">
      <alignment horizontal="center"/>
    </xf>
    <xf borderId="12" fillId="0" fontId="24" numFmtId="0" xfId="0" applyAlignment="1" applyBorder="1" applyFont="1">
      <alignment horizontal="center"/>
    </xf>
    <xf borderId="11" fillId="0" fontId="24" numFmtId="0" xfId="0" applyAlignment="1" applyBorder="1" applyFont="1">
      <alignment horizontal="center"/>
    </xf>
    <xf borderId="13" fillId="0" fontId="24" numFmtId="0" xfId="0" applyAlignment="1" applyBorder="1" applyFont="1">
      <alignment horizontal="center"/>
    </xf>
    <xf borderId="37" fillId="0" fontId="24" numFmtId="4" xfId="0" applyBorder="1" applyFont="1" applyNumberFormat="1"/>
    <xf borderId="0" fillId="0" fontId="23" numFmtId="0" xfId="0" applyFont="1"/>
    <xf borderId="60" fillId="0" fontId="23" numFmtId="0" xfId="0" applyAlignment="1" applyBorder="1" applyFont="1">
      <alignment horizontal="center" vertical="center"/>
    </xf>
    <xf borderId="60" fillId="0" fontId="24" numFmtId="0" xfId="0" applyAlignment="1" applyBorder="1" applyFont="1">
      <alignment horizontal="left" vertical="center"/>
    </xf>
    <xf borderId="60" fillId="0" fontId="24" numFmtId="4" xfId="0" applyBorder="1" applyFont="1" applyNumberFormat="1"/>
    <xf borderId="49" fillId="0" fontId="24" numFmtId="4" xfId="0" applyBorder="1" applyFont="1" applyNumberFormat="1"/>
    <xf borderId="4" fillId="0" fontId="24" numFmtId="0" xfId="0" applyAlignment="1" applyBorder="1" applyFont="1">
      <alignment horizontal="center"/>
    </xf>
    <xf borderId="5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42" fillId="0" fontId="24" numFmtId="4" xfId="0" applyBorder="1" applyFont="1" applyNumberFormat="1"/>
    <xf borderId="60" fillId="0" fontId="25" numFmtId="0" xfId="0" applyAlignment="1" applyBorder="1" applyFont="1">
      <alignment horizontal="center" vertical="center"/>
    </xf>
    <xf borderId="42" fillId="0" fontId="25" numFmtId="0" xfId="0" applyAlignment="1" applyBorder="1" applyFont="1">
      <alignment horizontal="center" vertical="center"/>
    </xf>
    <xf borderId="0" fillId="0" fontId="22" numFmtId="0" xfId="0" applyFont="1"/>
    <xf borderId="60" fillId="0" fontId="24" numFmtId="0" xfId="0" applyAlignment="1" applyBorder="1" applyFont="1">
      <alignment horizontal="left" shrinkToFit="0" vertical="center" wrapText="1"/>
    </xf>
    <xf borderId="5" fillId="0" fontId="24" numFmtId="0" xfId="0" applyAlignment="1" applyBorder="1" applyFont="1">
      <alignment horizontal="center" vertical="center"/>
    </xf>
    <xf borderId="4" fillId="0" fontId="24" numFmtId="3" xfId="0" applyAlignment="1" applyBorder="1" applyFont="1" applyNumberFormat="1">
      <alignment horizontal="center"/>
    </xf>
    <xf borderId="0" fillId="0" fontId="25" numFmtId="0" xfId="0" applyFont="1"/>
    <xf borderId="0" fillId="0" fontId="26" numFmtId="0" xfId="0" applyFont="1"/>
    <xf borderId="61" fillId="0" fontId="23" numFmtId="0" xfId="0" applyAlignment="1" applyBorder="1" applyFont="1">
      <alignment horizontal="center" vertical="center"/>
    </xf>
    <xf borderId="61" fillId="0" fontId="24" numFmtId="0" xfId="0" applyAlignment="1" applyBorder="1" applyFont="1">
      <alignment horizontal="left" vertical="center"/>
    </xf>
    <xf borderId="61" fillId="0" fontId="24" numFmtId="4" xfId="0" applyBorder="1" applyFont="1" applyNumberFormat="1"/>
    <xf borderId="45" fillId="0" fontId="24" numFmtId="4" xfId="0" applyBorder="1" applyFont="1" applyNumberFormat="1"/>
    <xf borderId="62" fillId="0" fontId="24" numFmtId="0" xfId="0" applyAlignment="1" applyBorder="1" applyFont="1">
      <alignment horizontal="center"/>
    </xf>
    <xf borderId="27" fillId="0" fontId="24" numFmtId="0" xfId="0" applyAlignment="1" applyBorder="1" applyFont="1">
      <alignment horizontal="center"/>
    </xf>
    <xf borderId="28" fillId="0" fontId="24" numFmtId="0" xfId="0" applyAlignment="1" applyBorder="1" applyFont="1">
      <alignment horizontal="center"/>
    </xf>
    <xf borderId="29" fillId="0" fontId="24" numFmtId="0" xfId="0" applyAlignment="1" applyBorder="1" applyFont="1">
      <alignment horizontal="center"/>
    </xf>
    <xf borderId="0" fillId="0" fontId="24" numFmtId="0" xfId="0" applyFont="1"/>
    <xf borderId="55" fillId="0" fontId="24" numFmtId="4" xfId="0" applyAlignment="1" applyBorder="1" applyFont="1" applyNumberFormat="1">
      <alignment horizontal="center"/>
    </xf>
    <xf borderId="6" fillId="0" fontId="24" numFmtId="4" xfId="0" applyBorder="1" applyFont="1" applyNumberFormat="1"/>
    <xf borderId="56" fillId="0" fontId="24" numFmtId="3" xfId="0" applyAlignment="1" applyBorder="1" applyFont="1" applyNumberFormat="1">
      <alignment horizontal="center"/>
    </xf>
    <xf borderId="57" fillId="0" fontId="24" numFmtId="3" xfId="0" applyAlignment="1" applyBorder="1" applyFont="1" applyNumberFormat="1">
      <alignment horizontal="center"/>
    </xf>
    <xf borderId="6" fillId="0" fontId="24" numFmtId="4" xfId="0" applyAlignment="1" applyBorder="1" applyFont="1" applyNumberFormat="1">
      <alignment horizontal="center"/>
    </xf>
    <xf borderId="0" fillId="0" fontId="27" numFmtId="0" xfId="0" applyFont="1"/>
    <xf borderId="0" fillId="0" fontId="28" numFmtId="4" xfId="0" applyFont="1" applyNumberFormat="1"/>
    <xf borderId="0" fillId="0" fontId="29" numFmtId="0" xfId="0" applyFont="1"/>
    <xf borderId="0" fillId="0" fontId="30" numFmtId="0" xfId="0" applyFont="1"/>
    <xf borderId="0" fillId="0" fontId="4" numFmtId="0" xfId="0" applyFont="1"/>
    <xf borderId="34" fillId="0" fontId="3" numFmtId="0" xfId="0" applyAlignment="1" applyBorder="1" applyFont="1">
      <alignment horizontal="center"/>
    </xf>
    <xf borderId="63" fillId="0" fontId="22" numFmtId="0" xfId="0" applyAlignment="1" applyBorder="1" applyFont="1">
      <alignment horizontal="center" vertical="center"/>
    </xf>
    <xf borderId="9" fillId="0" fontId="22" numFmtId="0" xfId="0" applyAlignment="1" applyBorder="1" applyFont="1">
      <alignment horizontal="center" vertical="center"/>
    </xf>
    <xf borderId="56" fillId="0" fontId="22" numFmtId="0" xfId="0" applyAlignment="1" applyBorder="1" applyFont="1">
      <alignment horizontal="center" vertical="center"/>
    </xf>
    <xf borderId="57" fillId="0" fontId="22" numFmtId="16" xfId="0" applyAlignment="1" applyBorder="1" applyFont="1" applyNumberFormat="1">
      <alignment horizontal="center" vertical="center"/>
    </xf>
    <xf borderId="37" fillId="0" fontId="22" numFmtId="4" xfId="0" applyAlignment="1" applyBorder="1" applyFont="1" applyNumberFormat="1">
      <alignment horizontal="center" vertical="center"/>
    </xf>
    <xf borderId="20" fillId="0" fontId="23" numFmtId="0" xfId="0" applyAlignment="1" applyBorder="1" applyFont="1">
      <alignment horizontal="center" vertical="center"/>
    </xf>
    <xf borderId="54" fillId="0" fontId="23" numFmtId="0" xfId="0" applyAlignment="1" applyBorder="1" applyFont="1">
      <alignment horizontal="left" vertical="center"/>
    </xf>
    <xf borderId="10" fillId="0" fontId="23" numFmtId="0" xfId="0" applyAlignment="1" applyBorder="1" applyFont="1">
      <alignment horizontal="center"/>
    </xf>
    <xf borderId="12" fillId="0" fontId="23" numFmtId="0" xfId="0" applyAlignment="1" applyBorder="1" applyFont="1">
      <alignment horizontal="center"/>
    </xf>
    <xf borderId="11" fillId="0" fontId="23" numFmtId="0" xfId="0" applyAlignment="1" applyBorder="1" applyFont="1">
      <alignment horizontal="center"/>
    </xf>
    <xf borderId="13" fillId="0" fontId="23" numFmtId="0" xfId="0" applyAlignment="1" applyBorder="1" applyFont="1">
      <alignment horizontal="center"/>
    </xf>
    <xf borderId="37" fillId="0" fontId="23" numFmtId="4" xfId="0" applyBorder="1" applyFont="1" applyNumberFormat="1"/>
    <xf borderId="15" fillId="0" fontId="23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left" vertical="center"/>
    </xf>
    <xf borderId="15" fillId="0" fontId="23" numFmtId="0" xfId="0" applyAlignment="1" applyBorder="1" applyFont="1">
      <alignment horizontal="center"/>
    </xf>
    <xf borderId="5" fillId="0" fontId="23" numFmtId="0" xfId="0" applyAlignment="1" applyBorder="1" applyFont="1">
      <alignment horizontal="center"/>
    </xf>
    <xf borderId="2" fillId="0" fontId="23" numFmtId="0" xfId="0" applyAlignment="1" applyBorder="1" applyFont="1">
      <alignment horizontal="center"/>
    </xf>
    <xf borderId="42" fillId="0" fontId="23" numFmtId="4" xfId="0" applyBorder="1" applyFont="1" applyNumberFormat="1"/>
    <xf borderId="3" fillId="0" fontId="23" numFmtId="0" xfId="0" applyAlignment="1" applyBorder="1" applyFont="1">
      <alignment horizontal="left" shrinkToFit="0" vertical="center" wrapText="1"/>
    </xf>
    <xf borderId="60" fillId="0" fontId="23" numFmtId="0" xfId="0" applyAlignment="1" applyBorder="1" applyFont="1">
      <alignment horizontal="center"/>
    </xf>
    <xf borderId="43" fillId="0" fontId="7" numFmtId="0" xfId="0" applyBorder="1" applyFont="1"/>
    <xf borderId="5" fillId="0" fontId="23" numFmtId="0" xfId="0" applyAlignment="1" applyBorder="1" applyFont="1">
      <alignment horizontal="center" vertical="center"/>
    </xf>
    <xf borderId="15" fillId="0" fontId="23" numFmtId="3" xfId="0" applyAlignment="1" applyBorder="1" applyFont="1" applyNumberFormat="1">
      <alignment horizontal="center"/>
    </xf>
    <xf borderId="26" fillId="0" fontId="23" numFmtId="0" xfId="0" applyAlignment="1" applyBorder="1" applyFont="1">
      <alignment horizontal="center" vertical="center"/>
    </xf>
    <xf borderId="64" fillId="0" fontId="23" numFmtId="0" xfId="0" applyAlignment="1" applyBorder="1" applyFont="1">
      <alignment horizontal="left" vertical="center"/>
    </xf>
    <xf borderId="45" fillId="0" fontId="23" numFmtId="4" xfId="0" applyBorder="1" applyFont="1" applyNumberFormat="1"/>
    <xf borderId="63" fillId="0" fontId="22" numFmtId="3" xfId="0" applyAlignment="1" applyBorder="1" applyFont="1" applyNumberFormat="1">
      <alignment horizontal="center"/>
    </xf>
    <xf borderId="56" fillId="0" fontId="22" numFmtId="3" xfId="0" applyAlignment="1" applyBorder="1" applyFont="1" applyNumberFormat="1">
      <alignment horizontal="center"/>
    </xf>
    <xf borderId="57" fillId="0" fontId="22" numFmtId="3" xfId="0" applyAlignment="1" applyBorder="1" applyFont="1" applyNumberFormat="1">
      <alignment horizontal="center"/>
    </xf>
    <xf borderId="6" fillId="0" fontId="23" numFmtId="4" xfId="0" applyBorder="1" applyFont="1" applyNumberFormat="1"/>
    <xf borderId="0" fillId="0" fontId="23" numFmtId="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39124.93</v>
      </c>
    </row>
    <row r="10">
      <c r="B10" s="6" t="s">
        <v>6</v>
      </c>
      <c r="F10" s="4">
        <v>-1.8</v>
      </c>
    </row>
    <row r="11">
      <c r="B11" s="6" t="s">
        <v>7</v>
      </c>
      <c r="F11" s="4">
        <f>SUM(Ingresos!G46)</f>
        <v>38850</v>
      </c>
    </row>
    <row r="12">
      <c r="B12" s="6" t="s">
        <v>8</v>
      </c>
      <c r="F12" s="4">
        <f>SUM(Ingresos!H46)</f>
        <v>9398</v>
      </c>
      <c r="G12" s="4"/>
    </row>
    <row r="13">
      <c r="B13" s="6" t="s">
        <v>9</v>
      </c>
      <c r="F13" s="4">
        <f>SUM(Ingresos!I46)</f>
        <v>100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87471.13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3090</v>
      </c>
    </row>
    <row r="19">
      <c r="B19" s="6" t="s">
        <v>14</v>
      </c>
      <c r="F19" s="4">
        <f>SUM(Egresos!E13)</f>
        <v>2400</v>
      </c>
    </row>
    <row r="20">
      <c r="B20" s="6" t="s">
        <v>15</v>
      </c>
      <c r="F20" s="4">
        <f>SUM(Egresos!E19)</f>
        <v>600</v>
      </c>
    </row>
    <row r="21" ht="15.75" customHeight="1">
      <c r="B21" s="6" t="s">
        <v>16</v>
      </c>
      <c r="F21" s="4">
        <f>SUM(Egresos!E16)</f>
        <v>6600</v>
      </c>
    </row>
    <row r="22" ht="15.75" customHeight="1">
      <c r="B22" s="6" t="s">
        <v>17</v>
      </c>
      <c r="F22" s="4">
        <f>SUM(Egresos!E20)</f>
        <v>1252.8</v>
      </c>
    </row>
    <row r="23" ht="6.75" customHeight="1">
      <c r="F23" s="4"/>
    </row>
    <row r="24" ht="15.75" customHeight="1">
      <c r="B24" s="6" t="s">
        <v>18</v>
      </c>
      <c r="F24" s="4">
        <f>SUM(Egresos!E8)</f>
        <v>4890.9</v>
      </c>
    </row>
    <row r="25" ht="15.75" customHeight="1">
      <c r="B25" s="6" t="s">
        <v>19</v>
      </c>
      <c r="F25" s="4">
        <f>SUM(Egresos!E9)</f>
        <v>1508.6</v>
      </c>
    </row>
    <row r="26" ht="15.75" customHeight="1">
      <c r="B26" s="6" t="s">
        <v>20</v>
      </c>
      <c r="F26" s="4">
        <f>SUM(Egresos!E10)</f>
        <v>143</v>
      </c>
    </row>
    <row r="27" ht="6.0" customHeight="1">
      <c r="F27" s="4"/>
    </row>
    <row r="28" ht="15.75" customHeight="1">
      <c r="B28" s="6" t="s">
        <v>21</v>
      </c>
      <c r="F28" s="4"/>
    </row>
    <row r="29" ht="15.75" customHeight="1">
      <c r="B29" s="6" t="s">
        <v>22</v>
      </c>
      <c r="F29" s="4">
        <f>SUM(Egresos!E12)</f>
        <v>30</v>
      </c>
    </row>
    <row r="30" ht="15.75" customHeight="1">
      <c r="B30" s="6" t="s">
        <v>14</v>
      </c>
      <c r="F30" s="4">
        <f>SUM(Egresos!E14:E15)</f>
        <v>345.9</v>
      </c>
    </row>
    <row r="31" ht="15.75" customHeight="1">
      <c r="B31" s="6" t="s">
        <v>23</v>
      </c>
      <c r="F31" s="4">
        <f>SUM(Egresos!E17:E18)</f>
        <v>75</v>
      </c>
    </row>
    <row r="32" ht="15.75" customHeight="1">
      <c r="B32" s="6" t="s">
        <v>24</v>
      </c>
      <c r="F32" s="4">
        <v>0.0</v>
      </c>
    </row>
    <row r="33" ht="15.75" customHeight="1">
      <c r="B33" s="6" t="s">
        <v>25</v>
      </c>
      <c r="F33" s="4">
        <f>SUM(Egresos!E21)</f>
        <v>700</v>
      </c>
    </row>
    <row r="34" ht="15.75" customHeight="1">
      <c r="B34" s="6" t="s">
        <v>26</v>
      </c>
      <c r="F34" s="4">
        <f>SUM(Egresos!F22)</f>
        <v>1672.39</v>
      </c>
    </row>
    <row r="35" ht="15.75" customHeight="1">
      <c r="B35" s="6" t="s">
        <v>27</v>
      </c>
      <c r="F35" s="8">
        <f>SUM(Egresos!E36:E38)</f>
        <v>20</v>
      </c>
    </row>
    <row r="36" ht="15.75" customHeight="1">
      <c r="C36" s="5" t="s">
        <v>28</v>
      </c>
      <c r="F36" s="7">
        <f>SUM(F18:F35)</f>
        <v>23328.59</v>
      </c>
    </row>
    <row r="37" ht="15.75" customHeight="1">
      <c r="F37" s="4"/>
    </row>
    <row r="38" ht="15.75" customHeight="1">
      <c r="C38" s="5"/>
      <c r="D38" s="5" t="s">
        <v>29</v>
      </c>
      <c r="E38" s="5"/>
      <c r="F38" s="7">
        <f>SUM(F15)-F36</f>
        <v>64142.54</v>
      </c>
    </row>
    <row r="39" ht="15.75" customHeight="1">
      <c r="F39" s="4"/>
    </row>
    <row r="40" ht="15.75" customHeight="1">
      <c r="C40" s="6" t="s">
        <v>6</v>
      </c>
      <c r="F40" s="4">
        <f>SUM(F38)-F41</f>
        <v>154.91</v>
      </c>
    </row>
    <row r="41" ht="15.75" customHeight="1">
      <c r="C41" s="6" t="s">
        <v>30</v>
      </c>
      <c r="F41" s="7">
        <v>63987.63</v>
      </c>
    </row>
    <row r="42" ht="15.75" customHeight="1">
      <c r="F42" s="7"/>
    </row>
    <row r="43" ht="24.75" customHeight="1">
      <c r="C43" s="9" t="s">
        <v>31</v>
      </c>
      <c r="D43" s="10"/>
      <c r="E43" s="10"/>
      <c r="F43" s="11">
        <f>SUM(F40:F41)</f>
        <v>64142.54</v>
      </c>
    </row>
    <row r="44" ht="6.75" customHeight="1">
      <c r="C44" s="12"/>
      <c r="D44" s="12"/>
      <c r="E44" s="12"/>
      <c r="F44" s="13"/>
    </row>
    <row r="45" ht="17.25" customHeight="1">
      <c r="C45" s="14" t="s">
        <v>32</v>
      </c>
      <c r="D45" s="10"/>
      <c r="E45" s="15"/>
      <c r="F45" s="16">
        <f>SUM(F12)+23444</f>
        <v>32842</v>
      </c>
      <c r="I45" s="4"/>
    </row>
    <row r="46" ht="15.75" customHeight="1">
      <c r="C46" s="17" t="s">
        <v>33</v>
      </c>
      <c r="D46" s="10"/>
      <c r="E46" s="15"/>
      <c r="F46" s="18">
        <f>SUM(F43)-F45</f>
        <v>31300.54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3:E43"/>
    <mergeCell ref="C45:E45"/>
    <mergeCell ref="C46:E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9" t="s">
        <v>34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35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customHeight="1">
      <c r="A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9.25" customHeight="1">
      <c r="A4" s="21" t="s">
        <v>36</v>
      </c>
      <c r="B4" s="22" t="s">
        <v>37</v>
      </c>
      <c r="C4" s="23" t="s">
        <v>38</v>
      </c>
      <c r="D4" s="21" t="s">
        <v>39</v>
      </c>
      <c r="E4" s="24" t="s">
        <v>40</v>
      </c>
      <c r="F4" s="25" t="s">
        <v>41</v>
      </c>
      <c r="G4" s="24" t="s">
        <v>42</v>
      </c>
      <c r="H4" s="24" t="s">
        <v>32</v>
      </c>
      <c r="I4" s="24" t="s">
        <v>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0" customHeight="1">
      <c r="A5" s="26">
        <v>1.0</v>
      </c>
      <c r="B5" s="27">
        <v>45323.0</v>
      </c>
      <c r="C5" s="28" t="s">
        <v>43</v>
      </c>
      <c r="D5" s="29">
        <v>704.0</v>
      </c>
      <c r="E5" s="30">
        <v>448.0</v>
      </c>
      <c r="F5" s="31" t="s">
        <v>44</v>
      </c>
      <c r="G5" s="32">
        <v>650.0</v>
      </c>
      <c r="H5" s="33"/>
      <c r="I5" s="34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6.5" customHeight="1">
      <c r="A6" s="36">
        <v>2.0</v>
      </c>
      <c r="B6" s="37">
        <v>45324.0</v>
      </c>
      <c r="C6" s="38" t="s">
        <v>45</v>
      </c>
      <c r="D6" s="29">
        <v>904.0</v>
      </c>
      <c r="E6" s="39">
        <v>449.0</v>
      </c>
      <c r="F6" s="40" t="s">
        <v>46</v>
      </c>
      <c r="G6" s="41">
        <v>650.0</v>
      </c>
      <c r="H6" s="42">
        <v>350.0</v>
      </c>
      <c r="I6" s="43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8.0" customHeight="1">
      <c r="A7" s="36">
        <v>3.0</v>
      </c>
      <c r="B7" s="37">
        <v>45324.0</v>
      </c>
      <c r="C7" s="38" t="s">
        <v>47</v>
      </c>
      <c r="D7" s="29">
        <v>204.0</v>
      </c>
      <c r="E7" s="39">
        <v>450.0</v>
      </c>
      <c r="F7" s="40" t="s">
        <v>48</v>
      </c>
      <c r="G7" s="41">
        <v>650.0</v>
      </c>
      <c r="H7" s="42"/>
      <c r="I7" s="43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36">
        <v>4.0</v>
      </c>
      <c r="B8" s="37">
        <v>45324.0</v>
      </c>
      <c r="C8" s="38" t="s">
        <v>47</v>
      </c>
      <c r="D8" s="29">
        <v>603.0</v>
      </c>
      <c r="E8" s="44">
        <v>451.0</v>
      </c>
      <c r="F8" s="40" t="s">
        <v>48</v>
      </c>
      <c r="G8" s="41">
        <v>650.0</v>
      </c>
      <c r="H8" s="42"/>
      <c r="I8" s="43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6.5" customHeight="1">
      <c r="A9" s="36">
        <v>5.0</v>
      </c>
      <c r="B9" s="37">
        <v>45325.0</v>
      </c>
      <c r="C9" s="28" t="s">
        <v>49</v>
      </c>
      <c r="D9" s="29">
        <v>203.0</v>
      </c>
      <c r="E9" s="44">
        <v>452.0</v>
      </c>
      <c r="F9" s="40" t="s">
        <v>50</v>
      </c>
      <c r="G9" s="41"/>
      <c r="H9" s="45">
        <v>348.0</v>
      </c>
      <c r="I9" s="43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6.5" customHeight="1">
      <c r="A10" s="36">
        <v>6.0</v>
      </c>
      <c r="B10" s="37">
        <v>45327.0</v>
      </c>
      <c r="C10" s="28" t="s">
        <v>51</v>
      </c>
      <c r="D10" s="29">
        <v>503.0</v>
      </c>
      <c r="E10" s="44">
        <v>453.0</v>
      </c>
      <c r="F10" s="40" t="s">
        <v>52</v>
      </c>
      <c r="G10" s="41">
        <v>500.0</v>
      </c>
      <c r="H10" s="42">
        <v>350.0</v>
      </c>
      <c r="I10" s="43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6.5" customHeight="1">
      <c r="A11" s="36">
        <v>7.0</v>
      </c>
      <c r="B11" s="37">
        <v>45327.0</v>
      </c>
      <c r="C11" s="28" t="s">
        <v>53</v>
      </c>
      <c r="D11" s="29">
        <v>203.0</v>
      </c>
      <c r="E11" s="44">
        <v>454.0</v>
      </c>
      <c r="F11" s="40" t="s">
        <v>44</v>
      </c>
      <c r="G11" s="46">
        <v>650.0</v>
      </c>
      <c r="H11" s="45"/>
      <c r="I11" s="43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6.5" customHeight="1">
      <c r="A12" s="36">
        <v>8.0</v>
      </c>
      <c r="B12" s="37">
        <v>45327.0</v>
      </c>
      <c r="C12" s="28" t="s">
        <v>54</v>
      </c>
      <c r="D12" s="29">
        <v>604.0</v>
      </c>
      <c r="E12" s="47">
        <v>455.0</v>
      </c>
      <c r="F12" s="40" t="s">
        <v>44</v>
      </c>
      <c r="G12" s="41">
        <v>650.0</v>
      </c>
      <c r="H12" s="42"/>
      <c r="I12" s="43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6.5" customHeight="1">
      <c r="A13" s="36">
        <v>9.0</v>
      </c>
      <c r="B13" s="37">
        <v>45327.0</v>
      </c>
      <c r="C13" s="28" t="s">
        <v>55</v>
      </c>
      <c r="D13" s="29">
        <v>1001.0</v>
      </c>
      <c r="E13" s="47">
        <v>456.0</v>
      </c>
      <c r="F13" s="48" t="s">
        <v>44</v>
      </c>
      <c r="G13" s="41">
        <v>650.0</v>
      </c>
      <c r="H13" s="42"/>
      <c r="I13" s="43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7.25" customHeight="1">
      <c r="A14" s="36">
        <v>10.0</v>
      </c>
      <c r="B14" s="37">
        <v>45327.0</v>
      </c>
      <c r="C14" s="28" t="s">
        <v>56</v>
      </c>
      <c r="D14" s="29">
        <v>401.0</v>
      </c>
      <c r="E14" s="44">
        <v>457.0</v>
      </c>
      <c r="F14" s="40" t="s">
        <v>44</v>
      </c>
      <c r="G14" s="41">
        <v>650.0</v>
      </c>
      <c r="H14" s="42"/>
      <c r="I14" s="43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7.25" customHeight="1">
      <c r="A15" s="36">
        <v>11.0</v>
      </c>
      <c r="B15" s="37">
        <v>45327.0</v>
      </c>
      <c r="C15" s="28" t="s">
        <v>57</v>
      </c>
      <c r="D15" s="29">
        <v>702.0</v>
      </c>
      <c r="E15" s="44">
        <v>458.0</v>
      </c>
      <c r="F15" s="40" t="s">
        <v>48</v>
      </c>
      <c r="G15" s="41">
        <v>650.0</v>
      </c>
      <c r="H15" s="42"/>
      <c r="I15" s="43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6.5" customHeight="1">
      <c r="A16" s="36">
        <v>12.0</v>
      </c>
      <c r="B16" s="37">
        <v>45327.0</v>
      </c>
      <c r="C16" s="28" t="s">
        <v>57</v>
      </c>
      <c r="D16" s="29">
        <v>702.0</v>
      </c>
      <c r="E16" s="47">
        <v>459.0</v>
      </c>
      <c r="F16" s="40" t="s">
        <v>50</v>
      </c>
      <c r="G16" s="41"/>
      <c r="H16" s="45">
        <v>350.0</v>
      </c>
      <c r="I16" s="43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6.5" customHeight="1">
      <c r="A17" s="36">
        <v>13.0</v>
      </c>
      <c r="B17" s="37">
        <v>45327.0</v>
      </c>
      <c r="C17" s="28" t="s">
        <v>58</v>
      </c>
      <c r="D17" s="29">
        <v>403.0</v>
      </c>
      <c r="E17" s="47">
        <v>460.0</v>
      </c>
      <c r="F17" s="40" t="s">
        <v>46</v>
      </c>
      <c r="G17" s="41">
        <v>650.0</v>
      </c>
      <c r="H17" s="42">
        <v>350.0</v>
      </c>
      <c r="I17" s="43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7.25" customHeight="1">
      <c r="A18" s="36">
        <v>14.0</v>
      </c>
      <c r="B18" s="37">
        <v>45328.0</v>
      </c>
      <c r="C18" s="38" t="s">
        <v>59</v>
      </c>
      <c r="D18" s="29">
        <v>1004.0</v>
      </c>
      <c r="E18" s="47">
        <v>461.0</v>
      </c>
      <c r="F18" s="40" t="s">
        <v>44</v>
      </c>
      <c r="G18" s="41">
        <v>700.0</v>
      </c>
      <c r="H18" s="45"/>
      <c r="I18" s="43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6">
        <v>15.0</v>
      </c>
      <c r="B19" s="37">
        <v>45328.0</v>
      </c>
      <c r="C19" s="28" t="s">
        <v>60</v>
      </c>
      <c r="D19" s="29">
        <v>602.0</v>
      </c>
      <c r="E19" s="44">
        <v>462.0</v>
      </c>
      <c r="F19" s="40" t="s">
        <v>61</v>
      </c>
      <c r="G19" s="41">
        <v>650.0</v>
      </c>
      <c r="H19" s="42">
        <v>350.0</v>
      </c>
      <c r="I19" s="4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6.5" customHeight="1">
      <c r="A20" s="36">
        <v>16.0</v>
      </c>
      <c r="B20" s="37">
        <v>45328.0</v>
      </c>
      <c r="C20" s="49" t="s">
        <v>62</v>
      </c>
      <c r="D20" s="50">
        <v>502.0</v>
      </c>
      <c r="E20" s="47">
        <v>463.0</v>
      </c>
      <c r="F20" s="40" t="s">
        <v>63</v>
      </c>
      <c r="G20" s="41">
        <v>650.0</v>
      </c>
      <c r="H20" s="45">
        <v>350.0</v>
      </c>
      <c r="I20" s="43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6.5" customHeight="1">
      <c r="A21" s="51">
        <v>17.0</v>
      </c>
      <c r="B21" s="37">
        <v>45328.0</v>
      </c>
      <c r="C21" s="28" t="s">
        <v>64</v>
      </c>
      <c r="D21" s="29">
        <v>101.0</v>
      </c>
      <c r="E21" s="47">
        <v>464.0</v>
      </c>
      <c r="F21" s="40" t="s">
        <v>44</v>
      </c>
      <c r="G21" s="41">
        <v>650.0</v>
      </c>
      <c r="H21" s="42"/>
      <c r="I21" s="52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6.5" customHeight="1">
      <c r="A22" s="51">
        <v>18.0</v>
      </c>
      <c r="B22" s="37">
        <v>45329.0</v>
      </c>
      <c r="C22" s="28" t="s">
        <v>65</v>
      </c>
      <c r="D22" s="29">
        <v>304.0</v>
      </c>
      <c r="E22" s="47">
        <v>465.0</v>
      </c>
      <c r="F22" s="40" t="s">
        <v>66</v>
      </c>
      <c r="G22" s="41"/>
      <c r="H22" s="42"/>
      <c r="I22" s="52">
        <v>100.0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8.75" customHeight="1">
      <c r="A23" s="51">
        <v>19.0</v>
      </c>
      <c r="B23" s="37">
        <v>45329.0</v>
      </c>
      <c r="C23" s="28" t="s">
        <v>67</v>
      </c>
      <c r="D23" s="29">
        <v>903.0</v>
      </c>
      <c r="E23" s="47">
        <v>466.0</v>
      </c>
      <c r="F23" s="40" t="s">
        <v>44</v>
      </c>
      <c r="G23" s="41">
        <v>700.0</v>
      </c>
      <c r="H23" s="42"/>
      <c r="I23" s="52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8.75" customHeight="1">
      <c r="A24" s="36">
        <v>20.0</v>
      </c>
      <c r="B24" s="37">
        <v>45330.0</v>
      </c>
      <c r="C24" s="38" t="s">
        <v>68</v>
      </c>
      <c r="D24" s="29">
        <v>301.0</v>
      </c>
      <c r="E24" s="44">
        <v>467.0</v>
      </c>
      <c r="F24" s="40" t="s">
        <v>69</v>
      </c>
      <c r="G24" s="41">
        <v>650.0</v>
      </c>
      <c r="H24" s="45">
        <v>350.0</v>
      </c>
      <c r="I24" s="4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6.5" customHeight="1">
      <c r="A25" s="53">
        <v>21.0</v>
      </c>
      <c r="B25" s="37">
        <v>45332.0</v>
      </c>
      <c r="C25" s="28" t="s">
        <v>70</v>
      </c>
      <c r="D25" s="29">
        <v>104.0</v>
      </c>
      <c r="E25" s="47">
        <v>468.0</v>
      </c>
      <c r="F25" s="40" t="s">
        <v>44</v>
      </c>
      <c r="G25" s="41">
        <v>650.0</v>
      </c>
      <c r="H25" s="54"/>
      <c r="I25" s="5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8.75" customHeight="1">
      <c r="A26" s="53">
        <v>33.0</v>
      </c>
      <c r="B26" s="56">
        <v>45332.0</v>
      </c>
      <c r="C26" s="57" t="s">
        <v>67</v>
      </c>
      <c r="D26" s="58">
        <v>903.0</v>
      </c>
      <c r="E26" s="59">
        <v>469.0</v>
      </c>
      <c r="F26" s="40" t="s">
        <v>71</v>
      </c>
      <c r="G26" s="41"/>
      <c r="H26" s="54">
        <v>1000.0</v>
      </c>
      <c r="I26" s="5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8.75" customHeight="1">
      <c r="A27" s="53">
        <v>34.0</v>
      </c>
      <c r="B27" s="56">
        <v>45332.0</v>
      </c>
      <c r="C27" s="57" t="s">
        <v>72</v>
      </c>
      <c r="D27" s="58">
        <v>302.0</v>
      </c>
      <c r="E27" s="59">
        <v>470.0</v>
      </c>
      <c r="F27" s="48" t="s">
        <v>44</v>
      </c>
      <c r="G27" s="60">
        <v>700.0</v>
      </c>
      <c r="H27" s="54"/>
      <c r="I27" s="5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8.75" customHeight="1">
      <c r="A28" s="53">
        <v>35.0</v>
      </c>
      <c r="B28" s="37">
        <v>45332.0</v>
      </c>
      <c r="C28" s="57" t="s">
        <v>72</v>
      </c>
      <c r="D28" s="29">
        <v>302.0</v>
      </c>
      <c r="E28" s="44">
        <v>471.0</v>
      </c>
      <c r="F28" s="40" t="s">
        <v>73</v>
      </c>
      <c r="G28" s="46"/>
      <c r="H28" s="46">
        <v>350.0</v>
      </c>
      <c r="I28" s="5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8.75" customHeight="1">
      <c r="A29" s="53">
        <v>36.0</v>
      </c>
      <c r="B29" s="37">
        <v>45333.0</v>
      </c>
      <c r="C29" s="28" t="s">
        <v>74</v>
      </c>
      <c r="D29" s="29">
        <v>301.0</v>
      </c>
      <c r="E29" s="44">
        <v>472.0</v>
      </c>
      <c r="F29" s="48" t="s">
        <v>44</v>
      </c>
      <c r="G29" s="46">
        <v>500.0</v>
      </c>
      <c r="H29" s="46"/>
      <c r="I29" s="5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8.75" customHeight="1">
      <c r="A30" s="53">
        <v>37.0</v>
      </c>
      <c r="B30" s="37">
        <v>45333.0</v>
      </c>
      <c r="C30" s="38" t="s">
        <v>75</v>
      </c>
      <c r="D30" s="29">
        <v>802.0</v>
      </c>
      <c r="E30" s="44">
        <v>473.0</v>
      </c>
      <c r="F30" s="40" t="s">
        <v>48</v>
      </c>
      <c r="G30" s="46">
        <v>650.0</v>
      </c>
      <c r="H30" s="46"/>
      <c r="I30" s="5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8.75" customHeight="1">
      <c r="A31" s="53">
        <v>38.0</v>
      </c>
      <c r="B31" s="37">
        <v>45336.0</v>
      </c>
      <c r="C31" s="38" t="s">
        <v>76</v>
      </c>
      <c r="D31" s="29">
        <v>703.0</v>
      </c>
      <c r="E31" s="44">
        <v>474.0</v>
      </c>
      <c r="F31" s="40" t="s">
        <v>77</v>
      </c>
      <c r="G31" s="46">
        <v>650.0</v>
      </c>
      <c r="H31" s="46">
        <v>350.0</v>
      </c>
      <c r="I31" s="5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8.75" customHeight="1">
      <c r="A32" s="53">
        <v>39.0</v>
      </c>
      <c r="B32" s="37">
        <v>45336.0</v>
      </c>
      <c r="C32" s="38" t="s">
        <v>47</v>
      </c>
      <c r="D32" s="29" t="s">
        <v>78</v>
      </c>
      <c r="E32" s="44">
        <v>475.0</v>
      </c>
      <c r="F32" s="40" t="s">
        <v>79</v>
      </c>
      <c r="G32" s="46"/>
      <c r="H32" s="46">
        <v>700.0</v>
      </c>
      <c r="I32" s="5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8.75" customHeight="1">
      <c r="A33" s="53">
        <v>40.0</v>
      </c>
      <c r="B33" s="56">
        <v>45338.0</v>
      </c>
      <c r="C33" s="38" t="s">
        <v>80</v>
      </c>
      <c r="D33" s="29">
        <v>801.0</v>
      </c>
      <c r="E33" s="44">
        <v>476.0</v>
      </c>
      <c r="F33" s="40" t="s">
        <v>44</v>
      </c>
      <c r="G33" s="46">
        <v>700.0</v>
      </c>
      <c r="H33" s="54"/>
      <c r="I33" s="5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22.5" customHeight="1">
      <c r="A34" s="53">
        <v>41.0</v>
      </c>
      <c r="B34" s="56">
        <v>45341.0</v>
      </c>
      <c r="C34" s="38" t="s">
        <v>81</v>
      </c>
      <c r="D34" s="29">
        <v>803.0</v>
      </c>
      <c r="E34" s="44">
        <v>477.0</v>
      </c>
      <c r="F34" s="40" t="s">
        <v>82</v>
      </c>
      <c r="G34" s="46">
        <v>2750.0</v>
      </c>
      <c r="H34" s="54">
        <v>350.0</v>
      </c>
      <c r="I34" s="5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24.0" customHeight="1">
      <c r="A35" s="53">
        <v>42.0</v>
      </c>
      <c r="B35" s="56">
        <v>45341.0</v>
      </c>
      <c r="C35" s="38" t="s">
        <v>83</v>
      </c>
      <c r="D35" s="29">
        <v>902.0</v>
      </c>
      <c r="E35" s="44">
        <v>478.0</v>
      </c>
      <c r="F35" s="40" t="s">
        <v>84</v>
      </c>
      <c r="G35" s="46">
        <v>1500.0</v>
      </c>
      <c r="H35" s="54">
        <v>1050.0</v>
      </c>
      <c r="I35" s="5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24.0" customHeight="1">
      <c r="A36" s="53">
        <v>43.0</v>
      </c>
      <c r="B36" s="56">
        <v>45343.0</v>
      </c>
      <c r="C36" s="57" t="s">
        <v>85</v>
      </c>
      <c r="D36" s="58">
        <v>504.0</v>
      </c>
      <c r="E36" s="59">
        <v>479.0</v>
      </c>
      <c r="F36" s="40" t="s">
        <v>86</v>
      </c>
      <c r="G36" s="46">
        <v>15650.0</v>
      </c>
      <c r="H36" s="54"/>
      <c r="I36" s="5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8.75" customHeight="1">
      <c r="A37" s="53">
        <v>44.0</v>
      </c>
      <c r="B37" s="56">
        <v>45348.0</v>
      </c>
      <c r="C37" s="57" t="s">
        <v>87</v>
      </c>
      <c r="D37" s="58">
        <v>103.0</v>
      </c>
      <c r="E37" s="59">
        <v>480.0</v>
      </c>
      <c r="F37" s="40" t="s">
        <v>88</v>
      </c>
      <c r="G37" s="41"/>
      <c r="H37" s="54">
        <v>350.0</v>
      </c>
      <c r="I37" s="5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8.75" customHeight="1">
      <c r="A38" s="53">
        <v>45.0</v>
      </c>
      <c r="B38" s="56">
        <v>45348.0</v>
      </c>
      <c r="C38" s="57" t="s">
        <v>87</v>
      </c>
      <c r="D38" s="58">
        <v>103.0</v>
      </c>
      <c r="E38" s="44">
        <v>481.0</v>
      </c>
      <c r="F38" s="40" t="s">
        <v>48</v>
      </c>
      <c r="G38" s="46">
        <v>650.0</v>
      </c>
      <c r="H38" s="54"/>
      <c r="I38" s="5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8.75" customHeight="1">
      <c r="A39" s="53">
        <v>46.0</v>
      </c>
      <c r="B39" s="56">
        <v>45350.0</v>
      </c>
      <c r="C39" s="57" t="s">
        <v>89</v>
      </c>
      <c r="D39" s="58">
        <v>601.0</v>
      </c>
      <c r="E39" s="44">
        <v>482.0</v>
      </c>
      <c r="F39" s="40" t="s">
        <v>90</v>
      </c>
      <c r="G39" s="46">
        <v>1400.0</v>
      </c>
      <c r="H39" s="54"/>
      <c r="I39" s="5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8.75" customHeight="1">
      <c r="A40" s="53">
        <v>47.0</v>
      </c>
      <c r="B40" s="56">
        <v>45350.0</v>
      </c>
      <c r="C40" s="57" t="s">
        <v>89</v>
      </c>
      <c r="D40" s="58">
        <v>601.0</v>
      </c>
      <c r="E40" s="44">
        <v>483.0</v>
      </c>
      <c r="F40" s="40" t="s">
        <v>91</v>
      </c>
      <c r="G40" s="46"/>
      <c r="H40" s="54">
        <v>1050.0</v>
      </c>
      <c r="I40" s="5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8.75" customHeight="1">
      <c r="A41" s="53">
        <v>48.0</v>
      </c>
      <c r="B41" s="56">
        <v>45350.0</v>
      </c>
      <c r="C41" s="57" t="s">
        <v>92</v>
      </c>
      <c r="D41" s="58">
        <v>501.0</v>
      </c>
      <c r="E41" s="44">
        <v>484.0</v>
      </c>
      <c r="F41" s="40" t="s">
        <v>90</v>
      </c>
      <c r="G41" s="46">
        <v>1400.0</v>
      </c>
      <c r="H41" s="54"/>
      <c r="I41" s="5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8.75" customHeight="1">
      <c r="A42" s="53">
        <v>49.0</v>
      </c>
      <c r="B42" s="56">
        <v>45350.0</v>
      </c>
      <c r="C42" s="57" t="s">
        <v>92</v>
      </c>
      <c r="D42" s="58">
        <v>501.0</v>
      </c>
      <c r="E42" s="44">
        <v>485.0</v>
      </c>
      <c r="F42" s="40" t="s">
        <v>91</v>
      </c>
      <c r="G42" s="46" t="s">
        <v>12</v>
      </c>
      <c r="H42" s="54">
        <v>1050.0</v>
      </c>
      <c r="I42" s="5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8.75" customHeight="1">
      <c r="A43" s="53">
        <v>50.0</v>
      </c>
      <c r="B43" s="56">
        <v>45350.0</v>
      </c>
      <c r="C43" s="57" t="s">
        <v>93</v>
      </c>
      <c r="D43" s="58">
        <v>202.0</v>
      </c>
      <c r="E43" s="44">
        <v>486.0</v>
      </c>
      <c r="F43" s="40" t="s">
        <v>48</v>
      </c>
      <c r="G43" s="46">
        <v>650.0</v>
      </c>
      <c r="H43" s="54"/>
      <c r="I43" s="5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8.75" customHeight="1">
      <c r="A44" s="53">
        <v>51.0</v>
      </c>
      <c r="B44" s="56">
        <v>45350.0</v>
      </c>
      <c r="C44" s="57" t="s">
        <v>93</v>
      </c>
      <c r="D44" s="58">
        <v>202.0</v>
      </c>
      <c r="E44" s="44">
        <v>487.0</v>
      </c>
      <c r="F44" s="40" t="s">
        <v>50</v>
      </c>
      <c r="G44" s="41"/>
      <c r="H44" s="45">
        <v>350.0</v>
      </c>
      <c r="I44" s="5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21.0" customHeight="1">
      <c r="A45" s="61">
        <v>52.0</v>
      </c>
      <c r="B45" s="62"/>
      <c r="C45" s="63"/>
      <c r="D45" s="64"/>
      <c r="E45" s="65"/>
      <c r="F45" s="66"/>
      <c r="G45" s="67"/>
      <c r="H45" s="68"/>
      <c r="I45" s="69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6.5" customHeight="1">
      <c r="A46" s="70"/>
      <c r="B46" s="70"/>
      <c r="C46" s="71"/>
      <c r="D46" s="71"/>
      <c r="E46" s="70"/>
      <c r="F46" s="72" t="s">
        <v>94</v>
      </c>
      <c r="G46" s="73">
        <f t="shared" ref="G46:I46" si="1">SUM(G5:G45)</f>
        <v>38850</v>
      </c>
      <c r="H46" s="74">
        <f t="shared" si="1"/>
        <v>9398</v>
      </c>
      <c r="I46" s="73">
        <f t="shared" si="1"/>
        <v>100</v>
      </c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6.5" customHeight="1">
      <c r="A47" s="70"/>
      <c r="B47" s="70"/>
      <c r="C47" s="71"/>
      <c r="D47" s="75"/>
      <c r="E47" s="70"/>
      <c r="F47" s="76"/>
      <c r="G47" s="77">
        <f>SUM(G46:I46)</f>
        <v>48348</v>
      </c>
      <c r="H47" s="78"/>
      <c r="I47" s="79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80"/>
      <c r="B48" s="80"/>
      <c r="C48" s="81"/>
      <c r="D48" s="75"/>
      <c r="E48" s="80"/>
      <c r="F48" s="81"/>
      <c r="G48" s="81"/>
      <c r="H48" s="81"/>
      <c r="I48" s="81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80"/>
      <c r="B49" s="80"/>
      <c r="C49" s="81"/>
      <c r="D49" s="75"/>
      <c r="E49" s="80"/>
      <c r="F49" s="81"/>
      <c r="G49" s="81"/>
      <c r="H49" s="81"/>
      <c r="I49" s="81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82"/>
      <c r="B50" s="82"/>
      <c r="C50" s="83"/>
      <c r="D50" s="75"/>
      <c r="E50" s="82"/>
      <c r="F50" s="83"/>
      <c r="G50" s="83"/>
      <c r="H50" s="83"/>
      <c r="I50" s="83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82"/>
      <c r="B51" s="82"/>
      <c r="C51" s="83"/>
      <c r="D51" s="75"/>
      <c r="E51" s="82"/>
      <c r="F51" s="83"/>
      <c r="G51" s="83"/>
      <c r="H51" s="83"/>
      <c r="I51" s="83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82"/>
      <c r="B52" s="82"/>
      <c r="C52" s="83"/>
      <c r="D52" s="75"/>
      <c r="E52" s="82"/>
      <c r="F52" s="83"/>
      <c r="G52" s="83"/>
      <c r="H52" s="83"/>
      <c r="I52" s="83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82"/>
      <c r="B53" s="82"/>
      <c r="C53" s="83"/>
      <c r="D53" s="82"/>
      <c r="E53" s="82"/>
      <c r="F53" s="83"/>
      <c r="G53" s="83"/>
      <c r="H53" s="83"/>
      <c r="I53" s="83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82"/>
      <c r="B54" s="82"/>
      <c r="C54" s="83"/>
      <c r="D54" s="82"/>
      <c r="E54" s="82"/>
      <c r="F54" s="83"/>
      <c r="G54" s="83"/>
      <c r="H54" s="83"/>
      <c r="I54" s="83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82"/>
      <c r="B55" s="82"/>
      <c r="C55" s="83"/>
      <c r="D55" s="82"/>
      <c r="E55" s="82"/>
      <c r="F55" s="83"/>
      <c r="G55" s="83"/>
      <c r="H55" s="83"/>
      <c r="I55" s="83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82"/>
      <c r="B56" s="82"/>
      <c r="C56" s="83"/>
      <c r="D56" s="82"/>
      <c r="E56" s="82"/>
      <c r="F56" s="83"/>
      <c r="G56" s="83"/>
      <c r="H56" s="83"/>
      <c r="I56" s="83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82"/>
      <c r="B57" s="82"/>
      <c r="C57" s="83"/>
      <c r="D57" s="82"/>
      <c r="E57" s="82"/>
      <c r="F57" s="83"/>
      <c r="G57" s="83"/>
      <c r="H57" s="83"/>
      <c r="I57" s="83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82"/>
      <c r="B58" s="82"/>
      <c r="C58" s="83"/>
      <c r="D58" s="82"/>
      <c r="E58" s="82"/>
      <c r="F58" s="83"/>
      <c r="G58" s="83"/>
      <c r="H58" s="83"/>
      <c r="I58" s="83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82"/>
      <c r="B59" s="82"/>
      <c r="C59" s="83"/>
      <c r="D59" s="82"/>
      <c r="E59" s="82"/>
      <c r="F59" s="83"/>
      <c r="G59" s="83"/>
      <c r="H59" s="83"/>
      <c r="I59" s="83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82"/>
      <c r="B60" s="82"/>
      <c r="C60" s="83"/>
      <c r="D60" s="82"/>
      <c r="E60" s="82"/>
      <c r="F60" s="83"/>
      <c r="G60" s="83"/>
      <c r="H60" s="83"/>
      <c r="I60" s="83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82"/>
      <c r="B61" s="82"/>
      <c r="C61" s="83"/>
      <c r="D61" s="82"/>
      <c r="E61" s="82"/>
      <c r="F61" s="83"/>
      <c r="G61" s="83"/>
      <c r="H61" s="83"/>
      <c r="I61" s="83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82"/>
      <c r="B62" s="82"/>
      <c r="C62" s="83"/>
      <c r="D62" s="82"/>
      <c r="E62" s="82"/>
      <c r="F62" s="83"/>
      <c r="G62" s="83"/>
      <c r="H62" s="83"/>
      <c r="I62" s="83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82"/>
      <c r="B63" s="82"/>
      <c r="C63" s="83"/>
      <c r="D63" s="82"/>
      <c r="E63" s="82"/>
      <c r="F63" s="83"/>
      <c r="G63" s="83"/>
      <c r="H63" s="83"/>
      <c r="I63" s="83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82"/>
      <c r="B64" s="82"/>
      <c r="C64" s="83"/>
      <c r="D64" s="82"/>
      <c r="E64" s="82"/>
      <c r="F64" s="83"/>
      <c r="G64" s="83"/>
      <c r="H64" s="83"/>
      <c r="I64" s="83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82"/>
      <c r="B65" s="82"/>
      <c r="C65" s="83"/>
      <c r="D65" s="82"/>
      <c r="E65" s="82"/>
      <c r="F65" s="83"/>
      <c r="G65" s="83"/>
      <c r="H65" s="83"/>
      <c r="I65" s="83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82"/>
      <c r="B66" s="82"/>
      <c r="C66" s="83"/>
      <c r="D66" s="82"/>
      <c r="E66" s="82"/>
      <c r="F66" s="83"/>
      <c r="G66" s="83"/>
      <c r="H66" s="83"/>
      <c r="I66" s="83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82"/>
      <c r="B67" s="82"/>
      <c r="C67" s="83"/>
      <c r="D67" s="82"/>
      <c r="E67" s="82"/>
      <c r="F67" s="83"/>
      <c r="G67" s="83"/>
      <c r="H67" s="83"/>
      <c r="I67" s="83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82"/>
      <c r="B68" s="82"/>
      <c r="C68" s="83"/>
      <c r="D68" s="82"/>
      <c r="E68" s="82"/>
      <c r="F68" s="83"/>
      <c r="G68" s="83"/>
      <c r="H68" s="83"/>
      <c r="I68" s="83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82"/>
      <c r="B69" s="82"/>
      <c r="C69" s="83"/>
      <c r="D69" s="82"/>
      <c r="E69" s="82"/>
      <c r="F69" s="83"/>
      <c r="G69" s="83"/>
      <c r="H69" s="83"/>
      <c r="I69" s="83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82"/>
      <c r="B70" s="82"/>
      <c r="C70" s="83"/>
      <c r="D70" s="82"/>
      <c r="E70" s="82"/>
      <c r="F70" s="83"/>
      <c r="G70" s="83"/>
      <c r="H70" s="83"/>
      <c r="I70" s="83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82"/>
      <c r="B71" s="82"/>
      <c r="C71" s="83"/>
      <c r="D71" s="82"/>
      <c r="E71" s="82"/>
      <c r="F71" s="83"/>
      <c r="G71" s="83"/>
      <c r="H71" s="83"/>
      <c r="I71" s="83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82"/>
      <c r="B72" s="82"/>
      <c r="C72" s="83"/>
      <c r="D72" s="82"/>
      <c r="E72" s="82"/>
      <c r="F72" s="83"/>
      <c r="G72" s="83"/>
      <c r="H72" s="83"/>
      <c r="I72" s="83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82"/>
      <c r="B73" s="82"/>
      <c r="C73" s="83"/>
      <c r="D73" s="82"/>
      <c r="E73" s="82"/>
      <c r="F73" s="83"/>
      <c r="G73" s="83"/>
      <c r="H73" s="83"/>
      <c r="I73" s="83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82"/>
      <c r="B74" s="82"/>
      <c r="C74" s="83"/>
      <c r="D74" s="82"/>
      <c r="E74" s="82"/>
      <c r="F74" s="83"/>
      <c r="G74" s="83"/>
      <c r="H74" s="83"/>
      <c r="I74" s="83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82"/>
      <c r="B75" s="82"/>
      <c r="C75" s="83"/>
      <c r="D75" s="82"/>
      <c r="E75" s="82"/>
      <c r="F75" s="83"/>
      <c r="G75" s="83"/>
      <c r="H75" s="83"/>
      <c r="I75" s="83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82"/>
      <c r="B76" s="82"/>
      <c r="C76" s="83"/>
      <c r="D76" s="82"/>
      <c r="E76" s="82"/>
      <c r="F76" s="83"/>
      <c r="G76" s="83"/>
      <c r="H76" s="83"/>
      <c r="I76" s="83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82"/>
      <c r="B77" s="82"/>
      <c r="C77" s="83"/>
      <c r="D77" s="82"/>
      <c r="E77" s="82"/>
      <c r="F77" s="83"/>
      <c r="G77" s="83"/>
      <c r="H77" s="83"/>
      <c r="I77" s="83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82"/>
      <c r="B78" s="82"/>
      <c r="C78" s="83"/>
      <c r="D78" s="82"/>
      <c r="E78" s="82"/>
      <c r="F78" s="83"/>
      <c r="G78" s="83"/>
      <c r="H78" s="83"/>
      <c r="I78" s="83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82"/>
      <c r="B79" s="82"/>
      <c r="C79" s="83"/>
      <c r="D79" s="82"/>
      <c r="E79" s="82"/>
      <c r="F79" s="83"/>
      <c r="G79" s="83"/>
      <c r="H79" s="83"/>
      <c r="I79" s="83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82"/>
      <c r="B80" s="82"/>
      <c r="C80" s="83"/>
      <c r="D80" s="82"/>
      <c r="E80" s="82"/>
      <c r="F80" s="83"/>
      <c r="G80" s="83"/>
      <c r="H80" s="83"/>
      <c r="I80" s="83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82"/>
      <c r="B81" s="82"/>
      <c r="C81" s="83"/>
      <c r="D81" s="82"/>
      <c r="E81" s="82"/>
      <c r="F81" s="83"/>
      <c r="G81" s="83"/>
      <c r="H81" s="83"/>
      <c r="I81" s="83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82"/>
      <c r="B82" s="82"/>
      <c r="C82" s="83"/>
      <c r="D82" s="82"/>
      <c r="E82" s="82"/>
      <c r="F82" s="83"/>
      <c r="G82" s="83"/>
      <c r="H82" s="83"/>
      <c r="I82" s="83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82"/>
      <c r="B83" s="82"/>
      <c r="C83" s="83"/>
      <c r="D83" s="82"/>
      <c r="E83" s="82"/>
      <c r="F83" s="83"/>
      <c r="G83" s="83"/>
      <c r="H83" s="83"/>
      <c r="I83" s="83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82"/>
      <c r="B84" s="82"/>
      <c r="C84" s="83"/>
      <c r="D84" s="82"/>
      <c r="E84" s="82"/>
      <c r="F84" s="83"/>
      <c r="G84" s="83"/>
      <c r="H84" s="83"/>
      <c r="I84" s="83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82"/>
      <c r="B85" s="82"/>
      <c r="C85" s="83"/>
      <c r="D85" s="82"/>
      <c r="E85" s="82"/>
      <c r="F85" s="83"/>
      <c r="G85" s="83"/>
      <c r="H85" s="83"/>
      <c r="I85" s="83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82"/>
      <c r="B86" s="82"/>
      <c r="C86" s="83"/>
      <c r="D86" s="82"/>
      <c r="E86" s="82"/>
      <c r="F86" s="83"/>
      <c r="G86" s="83"/>
      <c r="H86" s="83"/>
      <c r="I86" s="83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82"/>
      <c r="B87" s="82"/>
      <c r="C87" s="83"/>
      <c r="D87" s="82"/>
      <c r="E87" s="82"/>
      <c r="F87" s="83"/>
      <c r="G87" s="83"/>
      <c r="H87" s="83"/>
      <c r="I87" s="83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82"/>
      <c r="B88" s="82"/>
      <c r="C88" s="83"/>
      <c r="D88" s="82"/>
      <c r="E88" s="82"/>
      <c r="F88" s="83"/>
      <c r="G88" s="83"/>
      <c r="H88" s="83"/>
      <c r="I88" s="83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82"/>
      <c r="B89" s="82"/>
      <c r="C89" s="83"/>
      <c r="D89" s="82"/>
      <c r="E89" s="82"/>
      <c r="F89" s="83"/>
      <c r="G89" s="83"/>
      <c r="H89" s="83"/>
      <c r="I89" s="83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82"/>
      <c r="B90" s="82"/>
      <c r="C90" s="83"/>
      <c r="D90" s="82"/>
      <c r="E90" s="82"/>
      <c r="F90" s="83"/>
      <c r="G90" s="83"/>
      <c r="H90" s="83"/>
      <c r="I90" s="83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82"/>
      <c r="B91" s="82"/>
      <c r="C91" s="83"/>
      <c r="D91" s="82"/>
      <c r="E91" s="82"/>
      <c r="F91" s="83"/>
      <c r="G91" s="83"/>
      <c r="H91" s="83"/>
      <c r="I91" s="83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82"/>
      <c r="B92" s="82"/>
      <c r="C92" s="83"/>
      <c r="D92" s="82"/>
      <c r="E92" s="82"/>
      <c r="F92" s="83"/>
      <c r="G92" s="83"/>
      <c r="H92" s="83"/>
      <c r="I92" s="83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82"/>
      <c r="B93" s="82"/>
      <c r="C93" s="83"/>
      <c r="D93" s="82"/>
      <c r="E93" s="82"/>
      <c r="F93" s="83"/>
      <c r="G93" s="83"/>
      <c r="H93" s="83"/>
      <c r="I93" s="83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82"/>
      <c r="B94" s="82"/>
      <c r="C94" s="83"/>
      <c r="D94" s="82"/>
      <c r="E94" s="82"/>
      <c r="F94" s="83"/>
      <c r="G94" s="83"/>
      <c r="H94" s="83"/>
      <c r="I94" s="83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82"/>
      <c r="B95" s="82"/>
      <c r="C95" s="83"/>
      <c r="D95" s="82"/>
      <c r="E95" s="82"/>
      <c r="F95" s="83"/>
      <c r="G95" s="83"/>
      <c r="H95" s="83"/>
      <c r="I95" s="83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82"/>
      <c r="B96" s="82"/>
      <c r="C96" s="83"/>
      <c r="D96" s="82"/>
      <c r="E96" s="82"/>
      <c r="F96" s="83"/>
      <c r="G96" s="83"/>
      <c r="H96" s="83"/>
      <c r="I96" s="83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82"/>
      <c r="B97" s="82"/>
      <c r="C97" s="83"/>
      <c r="D97" s="82"/>
      <c r="E97" s="82"/>
      <c r="F97" s="83"/>
      <c r="G97" s="83"/>
      <c r="H97" s="83"/>
      <c r="I97" s="83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82"/>
      <c r="B98" s="82"/>
      <c r="C98" s="83"/>
      <c r="D98" s="82"/>
      <c r="E98" s="82"/>
      <c r="F98" s="83"/>
      <c r="G98" s="83"/>
      <c r="H98" s="83"/>
      <c r="I98" s="83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82"/>
      <c r="B99" s="82"/>
      <c r="C99" s="83"/>
      <c r="D99" s="82"/>
      <c r="E99" s="82"/>
      <c r="F99" s="83"/>
      <c r="G99" s="83"/>
      <c r="H99" s="83"/>
      <c r="I99" s="83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82"/>
      <c r="B100" s="82"/>
      <c r="C100" s="83"/>
      <c r="D100" s="82"/>
      <c r="E100" s="82"/>
      <c r="F100" s="83"/>
      <c r="G100" s="83"/>
      <c r="H100" s="83"/>
      <c r="I100" s="83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82"/>
      <c r="B101" s="82"/>
      <c r="C101" s="83"/>
      <c r="D101" s="82"/>
      <c r="E101" s="82"/>
      <c r="F101" s="83"/>
      <c r="G101" s="83"/>
      <c r="H101" s="83"/>
      <c r="I101" s="83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82"/>
      <c r="B102" s="82"/>
      <c r="C102" s="83"/>
      <c r="D102" s="82"/>
      <c r="E102" s="82"/>
      <c r="F102" s="83"/>
      <c r="G102" s="83"/>
      <c r="H102" s="83"/>
      <c r="I102" s="83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82"/>
      <c r="B103" s="82"/>
      <c r="C103" s="83"/>
      <c r="D103" s="82"/>
      <c r="E103" s="82"/>
      <c r="F103" s="83"/>
      <c r="G103" s="83"/>
      <c r="H103" s="83"/>
      <c r="I103" s="83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82"/>
      <c r="B104" s="82"/>
      <c r="C104" s="83"/>
      <c r="D104" s="82"/>
      <c r="E104" s="82"/>
      <c r="F104" s="83"/>
      <c r="G104" s="83"/>
      <c r="H104" s="83"/>
      <c r="I104" s="83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82"/>
      <c r="B105" s="82"/>
      <c r="C105" s="83"/>
      <c r="D105" s="82"/>
      <c r="E105" s="82"/>
      <c r="F105" s="83"/>
      <c r="G105" s="83"/>
      <c r="H105" s="83"/>
      <c r="I105" s="83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82"/>
      <c r="B106" s="82"/>
      <c r="C106" s="83"/>
      <c r="D106" s="82"/>
      <c r="E106" s="82"/>
      <c r="F106" s="83"/>
      <c r="G106" s="83"/>
      <c r="H106" s="83"/>
      <c r="I106" s="83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82"/>
      <c r="B107" s="82"/>
      <c r="C107" s="83"/>
      <c r="D107" s="82"/>
      <c r="E107" s="82"/>
      <c r="F107" s="83"/>
      <c r="G107" s="83"/>
      <c r="H107" s="83"/>
      <c r="I107" s="83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82"/>
      <c r="B108" s="82"/>
      <c r="C108" s="83"/>
      <c r="D108" s="82"/>
      <c r="E108" s="82"/>
      <c r="F108" s="83"/>
      <c r="G108" s="83"/>
      <c r="H108" s="83"/>
      <c r="I108" s="83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82"/>
      <c r="B109" s="82"/>
      <c r="C109" s="83"/>
      <c r="D109" s="82"/>
      <c r="E109" s="82"/>
      <c r="F109" s="83"/>
      <c r="G109" s="83"/>
      <c r="H109" s="83"/>
      <c r="I109" s="83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82"/>
      <c r="B110" s="82"/>
      <c r="C110" s="83"/>
      <c r="D110" s="82"/>
      <c r="E110" s="82"/>
      <c r="F110" s="83"/>
      <c r="G110" s="83"/>
      <c r="H110" s="83"/>
      <c r="I110" s="83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82"/>
      <c r="B111" s="82"/>
      <c r="C111" s="83"/>
      <c r="D111" s="82"/>
      <c r="E111" s="82"/>
      <c r="F111" s="83"/>
      <c r="G111" s="83"/>
      <c r="H111" s="83"/>
      <c r="I111" s="83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82"/>
      <c r="B112" s="82"/>
      <c r="C112" s="83"/>
      <c r="D112" s="82"/>
      <c r="E112" s="82"/>
      <c r="F112" s="83"/>
      <c r="G112" s="83"/>
      <c r="H112" s="83"/>
      <c r="I112" s="83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82"/>
      <c r="B113" s="82"/>
      <c r="C113" s="83"/>
      <c r="D113" s="82"/>
      <c r="E113" s="82"/>
      <c r="F113" s="83"/>
      <c r="G113" s="83"/>
      <c r="H113" s="83"/>
      <c r="I113" s="83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82"/>
      <c r="B114" s="82"/>
      <c r="C114" s="83"/>
      <c r="D114" s="82"/>
      <c r="E114" s="82"/>
      <c r="F114" s="83"/>
      <c r="G114" s="83"/>
      <c r="H114" s="83"/>
      <c r="I114" s="83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82"/>
      <c r="B115" s="82"/>
      <c r="C115" s="83"/>
      <c r="D115" s="82"/>
      <c r="E115" s="82"/>
      <c r="F115" s="83"/>
      <c r="G115" s="83"/>
      <c r="H115" s="83"/>
      <c r="I115" s="83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82"/>
      <c r="B116" s="82"/>
      <c r="C116" s="83"/>
      <c r="D116" s="82"/>
      <c r="E116" s="82"/>
      <c r="F116" s="83"/>
      <c r="G116" s="83"/>
      <c r="H116" s="83"/>
      <c r="I116" s="83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82"/>
      <c r="B117" s="82"/>
      <c r="C117" s="83"/>
      <c r="D117" s="82"/>
      <c r="E117" s="82"/>
      <c r="F117" s="83"/>
      <c r="G117" s="83"/>
      <c r="H117" s="83"/>
      <c r="I117" s="83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82"/>
      <c r="B118" s="82"/>
      <c r="C118" s="83"/>
      <c r="D118" s="82"/>
      <c r="E118" s="82"/>
      <c r="F118" s="83"/>
      <c r="G118" s="83"/>
      <c r="H118" s="83"/>
      <c r="I118" s="83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82"/>
      <c r="B119" s="82"/>
      <c r="C119" s="83"/>
      <c r="D119" s="82"/>
      <c r="E119" s="82"/>
      <c r="F119" s="83"/>
      <c r="G119" s="83"/>
      <c r="H119" s="83"/>
      <c r="I119" s="83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82"/>
      <c r="B120" s="82"/>
      <c r="C120" s="83"/>
      <c r="D120" s="82"/>
      <c r="E120" s="82"/>
      <c r="F120" s="83"/>
      <c r="G120" s="83"/>
      <c r="H120" s="83"/>
      <c r="I120" s="83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82"/>
      <c r="B121" s="82"/>
      <c r="C121" s="83"/>
      <c r="D121" s="82"/>
      <c r="E121" s="82"/>
      <c r="F121" s="83"/>
      <c r="G121" s="83"/>
      <c r="H121" s="83"/>
      <c r="I121" s="83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82"/>
      <c r="B122" s="82"/>
      <c r="C122" s="83"/>
      <c r="D122" s="82"/>
      <c r="E122" s="82"/>
      <c r="F122" s="83"/>
      <c r="G122" s="83"/>
      <c r="H122" s="83"/>
      <c r="I122" s="83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82"/>
      <c r="B123" s="82"/>
      <c r="C123" s="83"/>
      <c r="D123" s="82"/>
      <c r="E123" s="82"/>
      <c r="F123" s="83"/>
      <c r="G123" s="83"/>
      <c r="H123" s="83"/>
      <c r="I123" s="83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82"/>
      <c r="B124" s="82"/>
      <c r="C124" s="83"/>
      <c r="D124" s="82"/>
      <c r="E124" s="82"/>
      <c r="F124" s="83"/>
      <c r="G124" s="83"/>
      <c r="H124" s="83"/>
      <c r="I124" s="83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82"/>
      <c r="B125" s="82"/>
      <c r="C125" s="83"/>
      <c r="D125" s="82"/>
      <c r="E125" s="82"/>
      <c r="F125" s="83"/>
      <c r="G125" s="83"/>
      <c r="H125" s="83"/>
      <c r="I125" s="83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82"/>
      <c r="B126" s="82"/>
      <c r="C126" s="83"/>
      <c r="D126" s="82"/>
      <c r="E126" s="82"/>
      <c r="F126" s="83"/>
      <c r="G126" s="83"/>
      <c r="H126" s="83"/>
      <c r="I126" s="83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82"/>
      <c r="B127" s="82"/>
      <c r="C127" s="83"/>
      <c r="D127" s="82"/>
      <c r="E127" s="82"/>
      <c r="F127" s="83"/>
      <c r="G127" s="83"/>
      <c r="H127" s="83"/>
      <c r="I127" s="83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82"/>
      <c r="B128" s="82"/>
      <c r="C128" s="83"/>
      <c r="D128" s="82"/>
      <c r="E128" s="82"/>
      <c r="F128" s="83"/>
      <c r="G128" s="83"/>
      <c r="H128" s="83"/>
      <c r="I128" s="83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82"/>
      <c r="B129" s="82"/>
      <c r="C129" s="83"/>
      <c r="D129" s="82"/>
      <c r="E129" s="82"/>
      <c r="F129" s="83"/>
      <c r="G129" s="83"/>
      <c r="H129" s="83"/>
      <c r="I129" s="83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82"/>
      <c r="B130" s="82"/>
      <c r="C130" s="83"/>
      <c r="D130" s="82"/>
      <c r="E130" s="82"/>
      <c r="F130" s="83"/>
      <c r="G130" s="83"/>
      <c r="H130" s="83"/>
      <c r="I130" s="83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82"/>
      <c r="B131" s="82"/>
      <c r="C131" s="83"/>
      <c r="D131" s="82"/>
      <c r="E131" s="82"/>
      <c r="F131" s="83"/>
      <c r="G131" s="83"/>
      <c r="H131" s="83"/>
      <c r="I131" s="83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82"/>
      <c r="B132" s="82"/>
      <c r="C132" s="83"/>
      <c r="D132" s="82"/>
      <c r="E132" s="82"/>
      <c r="F132" s="83"/>
      <c r="G132" s="83"/>
      <c r="H132" s="83"/>
      <c r="I132" s="83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82"/>
      <c r="B133" s="82"/>
      <c r="C133" s="83"/>
      <c r="D133" s="82"/>
      <c r="E133" s="82"/>
      <c r="F133" s="83"/>
      <c r="G133" s="83"/>
      <c r="H133" s="83"/>
      <c r="I133" s="83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82"/>
      <c r="B134" s="82"/>
      <c r="C134" s="83"/>
      <c r="D134" s="82"/>
      <c r="E134" s="82"/>
      <c r="F134" s="83"/>
      <c r="G134" s="83"/>
      <c r="H134" s="83"/>
      <c r="I134" s="83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82"/>
      <c r="B135" s="82"/>
      <c r="C135" s="83"/>
      <c r="D135" s="82"/>
      <c r="E135" s="82"/>
      <c r="F135" s="83"/>
      <c r="G135" s="83"/>
      <c r="H135" s="83"/>
      <c r="I135" s="83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82"/>
      <c r="B136" s="82"/>
      <c r="C136" s="83"/>
      <c r="D136" s="82"/>
      <c r="E136" s="82"/>
      <c r="F136" s="83"/>
      <c r="G136" s="83"/>
      <c r="H136" s="83"/>
      <c r="I136" s="83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82"/>
      <c r="B137" s="82"/>
      <c r="C137" s="83"/>
      <c r="D137" s="82"/>
      <c r="E137" s="82"/>
      <c r="F137" s="83"/>
      <c r="G137" s="83"/>
      <c r="H137" s="83"/>
      <c r="I137" s="83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82"/>
      <c r="B138" s="82"/>
      <c r="C138" s="83"/>
      <c r="D138" s="82"/>
      <c r="E138" s="82"/>
      <c r="F138" s="83"/>
      <c r="G138" s="83"/>
      <c r="H138" s="83"/>
      <c r="I138" s="83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82"/>
      <c r="B139" s="82"/>
      <c r="C139" s="83"/>
      <c r="D139" s="82"/>
      <c r="E139" s="82"/>
      <c r="F139" s="83"/>
      <c r="G139" s="83"/>
      <c r="H139" s="83"/>
      <c r="I139" s="83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82"/>
      <c r="B140" s="82"/>
      <c r="C140" s="83"/>
      <c r="D140" s="82"/>
      <c r="E140" s="82"/>
      <c r="F140" s="83"/>
      <c r="G140" s="83"/>
      <c r="H140" s="83"/>
      <c r="I140" s="83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82"/>
      <c r="B141" s="82"/>
      <c r="C141" s="83"/>
      <c r="D141" s="82"/>
      <c r="E141" s="82"/>
      <c r="F141" s="83"/>
      <c r="G141" s="83"/>
      <c r="H141" s="83"/>
      <c r="I141" s="83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82"/>
      <c r="B142" s="82"/>
      <c r="C142" s="83"/>
      <c r="D142" s="82"/>
      <c r="E142" s="82"/>
      <c r="F142" s="83"/>
      <c r="G142" s="83"/>
      <c r="H142" s="83"/>
      <c r="I142" s="83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82"/>
      <c r="B143" s="82"/>
      <c r="C143" s="83"/>
      <c r="D143" s="82"/>
      <c r="E143" s="82"/>
      <c r="F143" s="83"/>
      <c r="G143" s="83"/>
      <c r="H143" s="83"/>
      <c r="I143" s="83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82"/>
      <c r="B144" s="82"/>
      <c r="C144" s="83"/>
      <c r="D144" s="82"/>
      <c r="E144" s="82"/>
      <c r="F144" s="83"/>
      <c r="G144" s="83"/>
      <c r="H144" s="83"/>
      <c r="I144" s="83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82"/>
      <c r="B145" s="82"/>
      <c r="C145" s="83"/>
      <c r="D145" s="82"/>
      <c r="E145" s="82"/>
      <c r="F145" s="83"/>
      <c r="G145" s="83"/>
      <c r="H145" s="83"/>
      <c r="I145" s="83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82"/>
      <c r="B146" s="82"/>
      <c r="C146" s="83"/>
      <c r="D146" s="82"/>
      <c r="E146" s="82"/>
      <c r="F146" s="83"/>
      <c r="G146" s="83"/>
      <c r="H146" s="83"/>
      <c r="I146" s="83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82"/>
      <c r="B147" s="82"/>
      <c r="C147" s="83"/>
      <c r="D147" s="82"/>
      <c r="E147" s="82"/>
      <c r="F147" s="83"/>
      <c r="G147" s="83"/>
      <c r="H147" s="83"/>
      <c r="I147" s="8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82"/>
      <c r="B148" s="82"/>
      <c r="C148" s="83"/>
      <c r="D148" s="82"/>
      <c r="E148" s="82"/>
      <c r="F148" s="83"/>
      <c r="G148" s="83"/>
      <c r="H148" s="83"/>
      <c r="I148" s="8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82"/>
      <c r="B149" s="82"/>
      <c r="C149" s="83"/>
      <c r="D149" s="82"/>
      <c r="E149" s="82"/>
      <c r="F149" s="83"/>
      <c r="G149" s="83"/>
      <c r="H149" s="83"/>
      <c r="I149" s="8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82"/>
      <c r="B150" s="82"/>
      <c r="C150" s="83"/>
      <c r="D150" s="82"/>
      <c r="E150" s="82"/>
      <c r="F150" s="83"/>
      <c r="G150" s="83"/>
      <c r="H150" s="83"/>
      <c r="I150" s="8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82"/>
      <c r="B151" s="82"/>
      <c r="C151" s="83"/>
      <c r="D151" s="82"/>
      <c r="E151" s="82"/>
      <c r="F151" s="83"/>
      <c r="G151" s="83"/>
      <c r="H151" s="83"/>
      <c r="I151" s="83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82"/>
      <c r="B152" s="82"/>
      <c r="C152" s="83"/>
      <c r="D152" s="82"/>
      <c r="E152" s="82"/>
      <c r="F152" s="83"/>
      <c r="G152" s="83"/>
      <c r="H152" s="83"/>
      <c r="I152" s="83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82"/>
      <c r="B153" s="82"/>
      <c r="C153" s="83"/>
      <c r="D153" s="82"/>
      <c r="E153" s="82"/>
      <c r="F153" s="83"/>
      <c r="G153" s="83"/>
      <c r="H153" s="83"/>
      <c r="I153" s="83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82"/>
      <c r="B154" s="82"/>
      <c r="C154" s="83"/>
      <c r="D154" s="82"/>
      <c r="E154" s="82"/>
      <c r="F154" s="83"/>
      <c r="G154" s="83"/>
      <c r="H154" s="83"/>
      <c r="I154" s="83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82"/>
      <c r="B155" s="82"/>
      <c r="C155" s="83"/>
      <c r="D155" s="82"/>
      <c r="E155" s="82"/>
      <c r="F155" s="83"/>
      <c r="G155" s="83"/>
      <c r="H155" s="83"/>
      <c r="I155" s="83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82"/>
      <c r="B156" s="82"/>
      <c r="C156" s="83"/>
      <c r="D156" s="82"/>
      <c r="E156" s="82"/>
      <c r="F156" s="83"/>
      <c r="G156" s="83"/>
      <c r="H156" s="83"/>
      <c r="I156" s="83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82"/>
      <c r="B157" s="82"/>
      <c r="C157" s="83"/>
      <c r="D157" s="82"/>
      <c r="E157" s="82"/>
      <c r="F157" s="83"/>
      <c r="G157" s="83"/>
      <c r="H157" s="83"/>
      <c r="I157" s="83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82"/>
      <c r="B158" s="82"/>
      <c r="C158" s="83"/>
      <c r="D158" s="82"/>
      <c r="E158" s="82"/>
      <c r="F158" s="83"/>
      <c r="G158" s="83"/>
      <c r="H158" s="83"/>
      <c r="I158" s="83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82"/>
      <c r="B159" s="82"/>
      <c r="C159" s="83"/>
      <c r="D159" s="82"/>
      <c r="E159" s="82"/>
      <c r="F159" s="83"/>
      <c r="G159" s="83"/>
      <c r="H159" s="83"/>
      <c r="I159" s="83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82"/>
      <c r="B160" s="82"/>
      <c r="C160" s="83"/>
      <c r="D160" s="82"/>
      <c r="E160" s="82"/>
      <c r="F160" s="83"/>
      <c r="G160" s="83"/>
      <c r="H160" s="83"/>
      <c r="I160" s="83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82"/>
      <c r="B161" s="82"/>
      <c r="C161" s="83"/>
      <c r="D161" s="82"/>
      <c r="E161" s="82"/>
      <c r="F161" s="83"/>
      <c r="G161" s="83"/>
      <c r="H161" s="83"/>
      <c r="I161" s="83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82"/>
      <c r="B162" s="82"/>
      <c r="C162" s="83"/>
      <c r="D162" s="82"/>
      <c r="E162" s="82"/>
      <c r="F162" s="83"/>
      <c r="G162" s="83"/>
      <c r="H162" s="83"/>
      <c r="I162" s="83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82"/>
      <c r="B163" s="82"/>
      <c r="C163" s="83"/>
      <c r="D163" s="82"/>
      <c r="E163" s="82"/>
      <c r="F163" s="83"/>
      <c r="G163" s="83"/>
      <c r="H163" s="83"/>
      <c r="I163" s="83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82"/>
      <c r="B164" s="82"/>
      <c r="C164" s="83"/>
      <c r="D164" s="82"/>
      <c r="E164" s="82"/>
      <c r="F164" s="83"/>
      <c r="G164" s="83"/>
      <c r="H164" s="83"/>
      <c r="I164" s="83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82"/>
      <c r="B165" s="82"/>
      <c r="C165" s="83"/>
      <c r="D165" s="82"/>
      <c r="E165" s="82"/>
      <c r="F165" s="83"/>
      <c r="G165" s="83"/>
      <c r="H165" s="83"/>
      <c r="I165" s="83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82"/>
      <c r="B166" s="82"/>
      <c r="C166" s="83"/>
      <c r="D166" s="82"/>
      <c r="E166" s="82"/>
      <c r="F166" s="83"/>
      <c r="G166" s="83"/>
      <c r="H166" s="83"/>
      <c r="I166" s="83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82"/>
      <c r="B167" s="82"/>
      <c r="C167" s="83"/>
      <c r="D167" s="82"/>
      <c r="E167" s="82"/>
      <c r="F167" s="83"/>
      <c r="G167" s="83"/>
      <c r="H167" s="83"/>
      <c r="I167" s="83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82"/>
      <c r="B168" s="82"/>
      <c r="C168" s="83"/>
      <c r="D168" s="82"/>
      <c r="E168" s="82"/>
      <c r="F168" s="83"/>
      <c r="G168" s="83"/>
      <c r="H168" s="83"/>
      <c r="I168" s="83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82"/>
      <c r="B169" s="82"/>
      <c r="C169" s="83"/>
      <c r="D169" s="82"/>
      <c r="E169" s="82"/>
      <c r="F169" s="83"/>
      <c r="G169" s="83"/>
      <c r="H169" s="83"/>
      <c r="I169" s="83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82"/>
      <c r="B170" s="82"/>
      <c r="C170" s="83"/>
      <c r="D170" s="82"/>
      <c r="E170" s="82"/>
      <c r="F170" s="83"/>
      <c r="G170" s="83"/>
      <c r="H170" s="83"/>
      <c r="I170" s="83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82"/>
      <c r="B171" s="82"/>
      <c r="C171" s="83"/>
      <c r="D171" s="82"/>
      <c r="E171" s="82"/>
      <c r="F171" s="83"/>
      <c r="G171" s="83"/>
      <c r="H171" s="83"/>
      <c r="I171" s="83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82"/>
      <c r="B172" s="82"/>
      <c r="C172" s="83"/>
      <c r="D172" s="82"/>
      <c r="E172" s="82"/>
      <c r="F172" s="83"/>
      <c r="G172" s="83"/>
      <c r="H172" s="83"/>
      <c r="I172" s="83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82"/>
      <c r="B173" s="82"/>
      <c r="C173" s="83"/>
      <c r="D173" s="82"/>
      <c r="E173" s="82"/>
      <c r="F173" s="83"/>
      <c r="G173" s="83"/>
      <c r="H173" s="83"/>
      <c r="I173" s="83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82"/>
      <c r="B174" s="82"/>
      <c r="C174" s="83"/>
      <c r="D174" s="82"/>
      <c r="E174" s="82"/>
      <c r="F174" s="83"/>
      <c r="G174" s="83"/>
      <c r="H174" s="83"/>
      <c r="I174" s="83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82"/>
      <c r="B175" s="82"/>
      <c r="C175" s="83"/>
      <c r="D175" s="82"/>
      <c r="E175" s="82"/>
      <c r="F175" s="83"/>
      <c r="G175" s="83"/>
      <c r="H175" s="83"/>
      <c r="I175" s="83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82"/>
      <c r="B176" s="82"/>
      <c r="C176" s="83"/>
      <c r="D176" s="82"/>
      <c r="E176" s="82"/>
      <c r="F176" s="83"/>
      <c r="G176" s="83"/>
      <c r="H176" s="83"/>
      <c r="I176" s="83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82"/>
      <c r="B177" s="82"/>
      <c r="C177" s="83"/>
      <c r="D177" s="82"/>
      <c r="E177" s="82"/>
      <c r="F177" s="83"/>
      <c r="G177" s="83"/>
      <c r="H177" s="83"/>
      <c r="I177" s="83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82"/>
      <c r="B178" s="82"/>
      <c r="C178" s="83"/>
      <c r="D178" s="82"/>
      <c r="E178" s="82"/>
      <c r="F178" s="83"/>
      <c r="G178" s="83"/>
      <c r="H178" s="83"/>
      <c r="I178" s="83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82"/>
      <c r="B179" s="82"/>
      <c r="C179" s="83"/>
      <c r="D179" s="82"/>
      <c r="E179" s="82"/>
      <c r="F179" s="83"/>
      <c r="G179" s="83"/>
      <c r="H179" s="83"/>
      <c r="I179" s="83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82"/>
      <c r="B180" s="82"/>
      <c r="C180" s="83"/>
      <c r="D180" s="82"/>
      <c r="E180" s="82"/>
      <c r="F180" s="83"/>
      <c r="G180" s="83"/>
      <c r="H180" s="83"/>
      <c r="I180" s="83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82"/>
      <c r="B181" s="82"/>
      <c r="C181" s="83"/>
      <c r="D181" s="82"/>
      <c r="E181" s="82"/>
      <c r="F181" s="83"/>
      <c r="G181" s="83"/>
      <c r="H181" s="83"/>
      <c r="I181" s="83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82"/>
      <c r="B182" s="82"/>
      <c r="C182" s="83"/>
      <c r="D182" s="82"/>
      <c r="E182" s="82"/>
      <c r="F182" s="83"/>
      <c r="G182" s="83"/>
      <c r="H182" s="83"/>
      <c r="I182" s="83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82"/>
      <c r="B183" s="82"/>
      <c r="C183" s="83"/>
      <c r="D183" s="82"/>
      <c r="E183" s="82"/>
      <c r="F183" s="83"/>
      <c r="G183" s="83"/>
      <c r="H183" s="83"/>
      <c r="I183" s="83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82"/>
      <c r="B184" s="82"/>
      <c r="C184" s="83"/>
      <c r="D184" s="82"/>
      <c r="E184" s="82"/>
      <c r="F184" s="83"/>
      <c r="G184" s="83"/>
      <c r="H184" s="83"/>
      <c r="I184" s="83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82"/>
      <c r="B185" s="82"/>
      <c r="C185" s="83"/>
      <c r="D185" s="82"/>
      <c r="E185" s="82"/>
      <c r="F185" s="83"/>
      <c r="G185" s="83"/>
      <c r="H185" s="83"/>
      <c r="I185" s="83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82"/>
      <c r="B186" s="82"/>
      <c r="C186" s="83"/>
      <c r="D186" s="82"/>
      <c r="E186" s="82"/>
      <c r="F186" s="83"/>
      <c r="G186" s="83"/>
      <c r="H186" s="83"/>
      <c r="I186" s="83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82"/>
      <c r="B187" s="82"/>
      <c r="C187" s="83"/>
      <c r="D187" s="82"/>
      <c r="E187" s="82"/>
      <c r="F187" s="83"/>
      <c r="G187" s="83"/>
      <c r="H187" s="83"/>
      <c r="I187" s="83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82"/>
      <c r="B188" s="82"/>
      <c r="C188" s="83"/>
      <c r="D188" s="82"/>
      <c r="E188" s="82"/>
      <c r="F188" s="83"/>
      <c r="G188" s="83"/>
      <c r="H188" s="83"/>
      <c r="I188" s="83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82"/>
      <c r="B189" s="82"/>
      <c r="C189" s="83"/>
      <c r="D189" s="82"/>
      <c r="E189" s="82"/>
      <c r="F189" s="83"/>
      <c r="G189" s="83"/>
      <c r="H189" s="83"/>
      <c r="I189" s="83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82"/>
      <c r="B190" s="82"/>
      <c r="C190" s="83"/>
      <c r="D190" s="82"/>
      <c r="E190" s="82"/>
      <c r="F190" s="83"/>
      <c r="G190" s="83"/>
      <c r="H190" s="83"/>
      <c r="I190" s="83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82"/>
      <c r="B191" s="82"/>
      <c r="C191" s="83"/>
      <c r="D191" s="82"/>
      <c r="E191" s="82"/>
      <c r="F191" s="83"/>
      <c r="G191" s="83"/>
      <c r="H191" s="83"/>
      <c r="I191" s="83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82"/>
      <c r="B192" s="82"/>
      <c r="C192" s="83"/>
      <c r="D192" s="82"/>
      <c r="E192" s="82"/>
      <c r="F192" s="83"/>
      <c r="G192" s="83"/>
      <c r="H192" s="83"/>
      <c r="I192" s="83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82"/>
      <c r="B193" s="82"/>
      <c r="C193" s="83"/>
      <c r="D193" s="82"/>
      <c r="E193" s="82"/>
      <c r="F193" s="83"/>
      <c r="G193" s="83"/>
      <c r="H193" s="83"/>
      <c r="I193" s="83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82"/>
      <c r="B194" s="82"/>
      <c r="C194" s="83"/>
      <c r="D194" s="82"/>
      <c r="E194" s="82"/>
      <c r="F194" s="83"/>
      <c r="G194" s="83"/>
      <c r="H194" s="83"/>
      <c r="I194" s="83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82"/>
      <c r="B195" s="82"/>
      <c r="C195" s="83"/>
      <c r="D195" s="82"/>
      <c r="E195" s="82"/>
      <c r="F195" s="83"/>
      <c r="G195" s="83"/>
      <c r="H195" s="83"/>
      <c r="I195" s="83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82"/>
      <c r="B196" s="82"/>
      <c r="C196" s="83"/>
      <c r="D196" s="82"/>
      <c r="E196" s="82"/>
      <c r="F196" s="83"/>
      <c r="G196" s="83"/>
      <c r="H196" s="83"/>
      <c r="I196" s="83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82"/>
      <c r="B197" s="82"/>
      <c r="C197" s="83"/>
      <c r="D197" s="82"/>
      <c r="E197" s="82"/>
      <c r="F197" s="83"/>
      <c r="G197" s="83"/>
      <c r="H197" s="83"/>
      <c r="I197" s="83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82"/>
      <c r="B198" s="82"/>
      <c r="C198" s="83"/>
      <c r="D198" s="82"/>
      <c r="E198" s="82"/>
      <c r="F198" s="83"/>
      <c r="G198" s="83"/>
      <c r="H198" s="83"/>
      <c r="I198" s="83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82"/>
      <c r="B199" s="82"/>
      <c r="C199" s="83"/>
      <c r="D199" s="82"/>
      <c r="E199" s="82"/>
      <c r="F199" s="83"/>
      <c r="G199" s="83"/>
      <c r="H199" s="83"/>
      <c r="I199" s="83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82"/>
      <c r="B200" s="82"/>
      <c r="C200" s="83"/>
      <c r="D200" s="82"/>
      <c r="E200" s="82"/>
      <c r="F200" s="83"/>
      <c r="G200" s="83"/>
      <c r="H200" s="83"/>
      <c r="I200" s="83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82"/>
      <c r="B201" s="82"/>
      <c r="C201" s="83"/>
      <c r="D201" s="82"/>
      <c r="E201" s="82"/>
      <c r="F201" s="83"/>
      <c r="G201" s="83"/>
      <c r="H201" s="83"/>
      <c r="I201" s="83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82"/>
      <c r="B202" s="82"/>
      <c r="C202" s="83"/>
      <c r="D202" s="82"/>
      <c r="E202" s="82"/>
      <c r="F202" s="83"/>
      <c r="G202" s="83"/>
      <c r="H202" s="83"/>
      <c r="I202" s="83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82"/>
      <c r="B203" s="82"/>
      <c r="C203" s="83"/>
      <c r="D203" s="82"/>
      <c r="E203" s="82"/>
      <c r="F203" s="83"/>
      <c r="G203" s="83"/>
      <c r="H203" s="83"/>
      <c r="I203" s="83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82"/>
      <c r="B204" s="82"/>
      <c r="C204" s="83"/>
      <c r="D204" s="82"/>
      <c r="E204" s="82"/>
      <c r="F204" s="83"/>
      <c r="G204" s="83"/>
      <c r="H204" s="83"/>
      <c r="I204" s="83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82"/>
      <c r="B205" s="82"/>
      <c r="C205" s="83"/>
      <c r="D205" s="82"/>
      <c r="E205" s="82"/>
      <c r="F205" s="83"/>
      <c r="G205" s="83"/>
      <c r="H205" s="83"/>
      <c r="I205" s="83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82"/>
      <c r="B206" s="82"/>
      <c r="C206" s="83"/>
      <c r="D206" s="82"/>
      <c r="E206" s="82"/>
      <c r="F206" s="83"/>
      <c r="G206" s="83"/>
      <c r="H206" s="83"/>
      <c r="I206" s="83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82"/>
      <c r="B207" s="82"/>
      <c r="C207" s="83"/>
      <c r="D207" s="82"/>
      <c r="E207" s="82"/>
      <c r="F207" s="83"/>
      <c r="G207" s="83"/>
      <c r="H207" s="83"/>
      <c r="I207" s="83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82"/>
      <c r="B208" s="82"/>
      <c r="C208" s="83"/>
      <c r="D208" s="82"/>
      <c r="E208" s="82"/>
      <c r="F208" s="83"/>
      <c r="G208" s="83"/>
      <c r="H208" s="83"/>
      <c r="I208" s="83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82"/>
      <c r="B209" s="82"/>
      <c r="C209" s="83"/>
      <c r="D209" s="82"/>
      <c r="E209" s="82"/>
      <c r="F209" s="83"/>
      <c r="G209" s="83"/>
      <c r="H209" s="83"/>
      <c r="I209" s="83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82"/>
      <c r="B210" s="82"/>
      <c r="C210" s="83"/>
      <c r="D210" s="82"/>
      <c r="E210" s="82"/>
      <c r="F210" s="83"/>
      <c r="G210" s="83"/>
      <c r="H210" s="83"/>
      <c r="I210" s="83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82"/>
      <c r="B211" s="82"/>
      <c r="C211" s="83"/>
      <c r="D211" s="82"/>
      <c r="E211" s="82"/>
      <c r="F211" s="83"/>
      <c r="G211" s="83"/>
      <c r="H211" s="83"/>
      <c r="I211" s="83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82"/>
      <c r="B212" s="82"/>
      <c r="C212" s="83"/>
      <c r="D212" s="82"/>
      <c r="E212" s="82"/>
      <c r="F212" s="83"/>
      <c r="G212" s="83"/>
      <c r="H212" s="83"/>
      <c r="I212" s="83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82"/>
      <c r="B213" s="82"/>
      <c r="C213" s="83"/>
      <c r="D213" s="82"/>
      <c r="E213" s="82"/>
      <c r="F213" s="83"/>
      <c r="G213" s="83"/>
      <c r="H213" s="83"/>
      <c r="I213" s="83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82"/>
      <c r="B214" s="82"/>
      <c r="C214" s="83"/>
      <c r="D214" s="82"/>
      <c r="E214" s="82"/>
      <c r="F214" s="83"/>
      <c r="G214" s="83"/>
      <c r="H214" s="83"/>
      <c r="I214" s="83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82"/>
      <c r="B215" s="82"/>
      <c r="C215" s="83"/>
      <c r="D215" s="82"/>
      <c r="E215" s="82"/>
      <c r="F215" s="83"/>
      <c r="G215" s="83"/>
      <c r="H215" s="83"/>
      <c r="I215" s="83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82"/>
      <c r="B216" s="82"/>
      <c r="C216" s="83"/>
      <c r="D216" s="82"/>
      <c r="E216" s="82"/>
      <c r="F216" s="83"/>
      <c r="G216" s="83"/>
      <c r="H216" s="83"/>
      <c r="I216" s="83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82"/>
      <c r="B217" s="82"/>
      <c r="C217" s="83"/>
      <c r="D217" s="82"/>
      <c r="E217" s="82"/>
      <c r="F217" s="83"/>
      <c r="G217" s="83"/>
      <c r="H217" s="83"/>
      <c r="I217" s="83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82"/>
      <c r="B218" s="82"/>
      <c r="C218" s="83"/>
      <c r="D218" s="82"/>
      <c r="E218" s="82"/>
      <c r="F218" s="83"/>
      <c r="G218" s="83"/>
      <c r="H218" s="83"/>
      <c r="I218" s="83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82"/>
      <c r="B219" s="82"/>
      <c r="C219" s="83"/>
      <c r="D219" s="82"/>
      <c r="E219" s="82"/>
      <c r="F219" s="83"/>
      <c r="G219" s="83"/>
      <c r="H219" s="83"/>
      <c r="I219" s="83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82"/>
      <c r="B220" s="82"/>
      <c r="C220" s="83"/>
      <c r="D220" s="82"/>
      <c r="E220" s="82"/>
      <c r="F220" s="83"/>
      <c r="G220" s="83"/>
      <c r="H220" s="83"/>
      <c r="I220" s="83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82"/>
      <c r="B221" s="82"/>
      <c r="C221" s="83"/>
      <c r="D221" s="82"/>
      <c r="E221" s="82"/>
      <c r="F221" s="83"/>
      <c r="G221" s="83"/>
      <c r="H221" s="83"/>
      <c r="I221" s="83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82"/>
      <c r="B222" s="82"/>
      <c r="C222" s="83"/>
      <c r="D222" s="82"/>
      <c r="E222" s="82"/>
      <c r="F222" s="83"/>
      <c r="G222" s="83"/>
      <c r="H222" s="83"/>
      <c r="I222" s="83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82"/>
      <c r="B223" s="82"/>
      <c r="C223" s="83"/>
      <c r="D223" s="82"/>
      <c r="E223" s="82"/>
      <c r="F223" s="83"/>
      <c r="G223" s="83"/>
      <c r="H223" s="83"/>
      <c r="I223" s="83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82"/>
      <c r="B224" s="82"/>
      <c r="C224" s="83"/>
      <c r="D224" s="82"/>
      <c r="E224" s="82"/>
      <c r="F224" s="83"/>
      <c r="G224" s="83"/>
      <c r="H224" s="83"/>
      <c r="I224" s="83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82"/>
      <c r="B225" s="82"/>
      <c r="C225" s="83"/>
      <c r="D225" s="82"/>
      <c r="E225" s="82"/>
      <c r="F225" s="83"/>
      <c r="G225" s="83"/>
      <c r="H225" s="83"/>
      <c r="I225" s="83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82"/>
      <c r="B226" s="82"/>
      <c r="C226" s="83"/>
      <c r="D226" s="82"/>
      <c r="E226" s="82"/>
      <c r="F226" s="83"/>
      <c r="G226" s="83"/>
      <c r="H226" s="83"/>
      <c r="I226" s="83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82"/>
      <c r="B227" s="82"/>
      <c r="C227" s="83"/>
      <c r="D227" s="82"/>
      <c r="E227" s="82"/>
      <c r="F227" s="83"/>
      <c r="G227" s="83"/>
      <c r="H227" s="83"/>
      <c r="I227" s="83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82"/>
      <c r="B228" s="82"/>
      <c r="C228" s="84"/>
      <c r="D228" s="82"/>
      <c r="E228" s="82"/>
      <c r="F228" s="84"/>
      <c r="G228" s="84"/>
      <c r="H228" s="84"/>
      <c r="I228" s="84"/>
    </row>
    <row r="229" ht="15.75" customHeight="1">
      <c r="D229" s="85"/>
      <c r="E229" s="85"/>
    </row>
    <row r="230" ht="15.75" customHeight="1">
      <c r="D230" s="85"/>
      <c r="E230" s="85"/>
    </row>
    <row r="231" ht="15.75" customHeight="1">
      <c r="D231" s="85"/>
      <c r="E231" s="85"/>
    </row>
    <row r="232" ht="15.75" customHeight="1">
      <c r="D232" s="85"/>
      <c r="E232" s="85"/>
    </row>
    <row r="233" ht="15.75" customHeight="1">
      <c r="D233" s="85"/>
      <c r="E233" s="85"/>
    </row>
    <row r="234" ht="15.75" customHeight="1">
      <c r="D234" s="85"/>
      <c r="E234" s="85"/>
    </row>
    <row r="235" ht="15.75" customHeight="1">
      <c r="D235" s="85"/>
      <c r="E235" s="85"/>
    </row>
    <row r="236" ht="15.75" customHeight="1">
      <c r="D236" s="85"/>
      <c r="E236" s="85"/>
    </row>
    <row r="237" ht="15.75" customHeight="1">
      <c r="D237" s="85"/>
      <c r="E237" s="85"/>
    </row>
    <row r="238" ht="15.75" customHeight="1">
      <c r="D238" s="85"/>
      <c r="E238" s="85"/>
    </row>
    <row r="239" ht="15.75" customHeight="1">
      <c r="D239" s="85"/>
      <c r="E239" s="85"/>
    </row>
    <row r="240" ht="15.75" customHeight="1">
      <c r="D240" s="85"/>
      <c r="E240" s="85"/>
    </row>
    <row r="241" ht="15.75" customHeight="1">
      <c r="D241" s="85"/>
      <c r="E241" s="85"/>
    </row>
    <row r="242" ht="15.75" customHeight="1">
      <c r="D242" s="85"/>
      <c r="E242" s="85"/>
    </row>
    <row r="243" ht="15.75" customHeight="1">
      <c r="D243" s="85"/>
      <c r="E243" s="85"/>
    </row>
    <row r="244" ht="15.75" customHeight="1">
      <c r="D244" s="85"/>
      <c r="E244" s="85"/>
    </row>
    <row r="245" ht="15.75" customHeight="1">
      <c r="D245" s="85"/>
      <c r="E245" s="85"/>
    </row>
    <row r="246" ht="15.75" customHeight="1">
      <c r="D246" s="85"/>
      <c r="E246" s="85"/>
    </row>
    <row r="247" ht="15.75" customHeight="1">
      <c r="D247" s="85"/>
      <c r="E247" s="85"/>
    </row>
    <row r="248" ht="15.75" customHeight="1">
      <c r="D248" s="85"/>
      <c r="E248" s="85"/>
    </row>
    <row r="249" ht="15.75" customHeight="1">
      <c r="D249" s="85"/>
      <c r="E249" s="85"/>
    </row>
    <row r="250" ht="15.75" customHeight="1">
      <c r="D250" s="85"/>
      <c r="E250" s="85"/>
    </row>
    <row r="251" ht="15.75" customHeight="1">
      <c r="D251" s="85"/>
      <c r="E251" s="85"/>
    </row>
    <row r="252" ht="15.75" customHeight="1">
      <c r="D252" s="85"/>
      <c r="E252" s="85"/>
    </row>
    <row r="253" ht="15.75" customHeight="1">
      <c r="D253" s="85"/>
      <c r="E253" s="85"/>
    </row>
    <row r="254" ht="15.75" customHeight="1">
      <c r="D254" s="85"/>
      <c r="E254" s="85"/>
    </row>
    <row r="255" ht="15.75" customHeight="1">
      <c r="D255" s="85"/>
      <c r="E255" s="85"/>
    </row>
    <row r="256" ht="15.75" customHeight="1">
      <c r="D256" s="85"/>
      <c r="E256" s="85"/>
    </row>
    <row r="257" ht="15.75" customHeight="1">
      <c r="D257" s="85"/>
      <c r="E257" s="85"/>
    </row>
    <row r="258" ht="15.75" customHeight="1">
      <c r="D258" s="85"/>
      <c r="E258" s="85"/>
    </row>
    <row r="259" ht="15.75" customHeight="1">
      <c r="D259" s="85"/>
      <c r="E259" s="85"/>
    </row>
    <row r="260" ht="15.75" customHeight="1">
      <c r="D260" s="85"/>
      <c r="E260" s="85"/>
    </row>
    <row r="261" ht="15.75" customHeight="1">
      <c r="D261" s="85"/>
      <c r="E261" s="85"/>
    </row>
    <row r="262" ht="15.75" customHeight="1">
      <c r="D262" s="85"/>
      <c r="E262" s="85"/>
    </row>
    <row r="263" ht="15.75" customHeight="1">
      <c r="D263" s="85"/>
      <c r="E263" s="85"/>
    </row>
    <row r="264" ht="15.75" customHeight="1">
      <c r="D264" s="85"/>
      <c r="E264" s="85"/>
    </row>
    <row r="265" ht="15.75" customHeight="1">
      <c r="D265" s="85"/>
      <c r="E265" s="85"/>
    </row>
    <row r="266" ht="15.75" customHeight="1">
      <c r="D266" s="85"/>
      <c r="E266" s="85"/>
    </row>
    <row r="267" ht="15.75" customHeight="1">
      <c r="D267" s="85"/>
      <c r="E267" s="85"/>
    </row>
    <row r="268" ht="15.75" customHeight="1">
      <c r="D268" s="85"/>
      <c r="E268" s="85"/>
    </row>
    <row r="269" ht="15.75" customHeight="1">
      <c r="D269" s="85"/>
      <c r="E269" s="85"/>
    </row>
    <row r="270" ht="15.75" customHeight="1">
      <c r="D270" s="85"/>
      <c r="E270" s="85"/>
    </row>
    <row r="271" ht="15.75" customHeight="1">
      <c r="D271" s="85"/>
      <c r="E271" s="85"/>
    </row>
    <row r="272" ht="15.75" customHeight="1">
      <c r="D272" s="85"/>
      <c r="E272" s="85"/>
    </row>
    <row r="273" ht="15.75" customHeight="1">
      <c r="D273" s="85"/>
      <c r="E273" s="85"/>
    </row>
    <row r="274" ht="15.75" customHeight="1">
      <c r="D274" s="85"/>
      <c r="E274" s="85"/>
    </row>
    <row r="275" ht="15.75" customHeight="1">
      <c r="D275" s="85"/>
      <c r="E275" s="85"/>
    </row>
    <row r="276" ht="15.75" customHeight="1">
      <c r="D276" s="85"/>
      <c r="E276" s="85"/>
    </row>
    <row r="277" ht="15.75" customHeight="1">
      <c r="D277" s="85"/>
      <c r="E277" s="85"/>
    </row>
    <row r="278" ht="15.75" customHeight="1">
      <c r="D278" s="85"/>
      <c r="E278" s="85"/>
    </row>
    <row r="279" ht="15.75" customHeight="1">
      <c r="D279" s="85"/>
      <c r="E279" s="85"/>
    </row>
    <row r="280" ht="15.75" customHeight="1">
      <c r="D280" s="85"/>
      <c r="E280" s="85"/>
    </row>
    <row r="281" ht="15.75" customHeight="1">
      <c r="D281" s="85"/>
      <c r="E281" s="85"/>
    </row>
    <row r="282" ht="15.75" customHeight="1">
      <c r="D282" s="85"/>
      <c r="E282" s="85"/>
    </row>
    <row r="283" ht="15.75" customHeight="1">
      <c r="D283" s="85"/>
      <c r="E283" s="85"/>
    </row>
    <row r="284" ht="15.75" customHeight="1">
      <c r="D284" s="85"/>
      <c r="E284" s="85"/>
    </row>
    <row r="285" ht="15.75" customHeight="1">
      <c r="D285" s="85"/>
      <c r="E285" s="85"/>
    </row>
    <row r="286" ht="15.75" customHeight="1">
      <c r="D286" s="85"/>
      <c r="E286" s="85"/>
    </row>
    <row r="287" ht="15.75" customHeight="1">
      <c r="D287" s="85"/>
      <c r="E287" s="85"/>
    </row>
    <row r="288" ht="15.75" customHeight="1">
      <c r="D288" s="85"/>
      <c r="E288" s="85"/>
    </row>
    <row r="289" ht="15.75" customHeight="1">
      <c r="D289" s="85"/>
      <c r="E289" s="85"/>
    </row>
    <row r="290" ht="15.75" customHeight="1">
      <c r="D290" s="85"/>
      <c r="E290" s="85"/>
    </row>
    <row r="291" ht="15.75" customHeight="1">
      <c r="D291" s="85"/>
      <c r="E291" s="85"/>
    </row>
    <row r="292" ht="15.75" customHeight="1">
      <c r="D292" s="85"/>
      <c r="E292" s="85"/>
    </row>
    <row r="293" ht="15.75" customHeight="1">
      <c r="D293" s="85"/>
      <c r="E293" s="85"/>
    </row>
    <row r="294" ht="15.75" customHeight="1">
      <c r="D294" s="85"/>
      <c r="E294" s="85"/>
    </row>
    <row r="295" ht="15.75" customHeight="1">
      <c r="D295" s="85"/>
      <c r="E295" s="85"/>
    </row>
    <row r="296" ht="15.75" customHeight="1">
      <c r="D296" s="85"/>
      <c r="E296" s="85"/>
    </row>
    <row r="297" ht="15.75" customHeight="1">
      <c r="D297" s="85"/>
      <c r="E297" s="85"/>
    </row>
    <row r="298" ht="15.75" customHeight="1">
      <c r="D298" s="85"/>
      <c r="E298" s="85"/>
    </row>
    <row r="299" ht="15.75" customHeight="1">
      <c r="D299" s="85"/>
      <c r="E299" s="85"/>
    </row>
    <row r="300" ht="15.75" customHeight="1">
      <c r="D300" s="85"/>
      <c r="E300" s="85"/>
    </row>
    <row r="301" ht="15.75" customHeight="1">
      <c r="D301" s="85"/>
      <c r="E301" s="85"/>
    </row>
    <row r="302" ht="15.75" customHeight="1">
      <c r="D302" s="85"/>
      <c r="E302" s="85"/>
    </row>
    <row r="303" ht="15.75" customHeight="1">
      <c r="D303" s="85"/>
      <c r="E303" s="85"/>
    </row>
    <row r="304" ht="15.75" customHeight="1">
      <c r="D304" s="85"/>
      <c r="E304" s="85"/>
    </row>
    <row r="305" ht="15.75" customHeight="1">
      <c r="D305" s="85"/>
      <c r="E305" s="85"/>
    </row>
    <row r="306" ht="15.75" customHeight="1">
      <c r="D306" s="85"/>
      <c r="E306" s="85"/>
    </row>
    <row r="307" ht="15.75" customHeight="1">
      <c r="D307" s="85"/>
      <c r="E307" s="85"/>
    </row>
    <row r="308" ht="15.75" customHeight="1">
      <c r="D308" s="85"/>
      <c r="E308" s="85"/>
    </row>
    <row r="309" ht="15.75" customHeight="1">
      <c r="D309" s="85"/>
      <c r="E309" s="85"/>
    </row>
    <row r="310" ht="15.75" customHeight="1">
      <c r="D310" s="85"/>
      <c r="E310" s="85"/>
    </row>
    <row r="311" ht="15.75" customHeight="1">
      <c r="D311" s="85"/>
      <c r="E311" s="85"/>
    </row>
    <row r="312" ht="15.75" customHeight="1">
      <c r="D312" s="85"/>
      <c r="E312" s="85"/>
    </row>
    <row r="313" ht="15.75" customHeight="1">
      <c r="D313" s="85"/>
      <c r="E313" s="85"/>
    </row>
    <row r="314" ht="15.75" customHeight="1">
      <c r="D314" s="85"/>
      <c r="E314" s="85"/>
    </row>
    <row r="315" ht="15.75" customHeight="1">
      <c r="D315" s="85"/>
      <c r="E315" s="85"/>
    </row>
    <row r="316" ht="15.75" customHeight="1">
      <c r="D316" s="85"/>
      <c r="E316" s="85"/>
    </row>
    <row r="317" ht="15.75" customHeight="1">
      <c r="D317" s="85"/>
      <c r="E317" s="85"/>
    </row>
    <row r="318" ht="15.75" customHeight="1">
      <c r="D318" s="85"/>
      <c r="E318" s="85"/>
    </row>
    <row r="319" ht="15.75" customHeight="1">
      <c r="D319" s="85"/>
      <c r="E319" s="85"/>
    </row>
    <row r="320" ht="15.75" customHeight="1">
      <c r="D320" s="85"/>
      <c r="E320" s="85"/>
    </row>
    <row r="321" ht="15.75" customHeight="1">
      <c r="D321" s="85"/>
      <c r="E321" s="85"/>
    </row>
    <row r="322" ht="15.75" customHeight="1">
      <c r="D322" s="85"/>
      <c r="E322" s="85"/>
    </row>
    <row r="323" ht="15.75" customHeight="1">
      <c r="D323" s="85"/>
      <c r="E323" s="85"/>
    </row>
    <row r="324" ht="15.75" customHeight="1">
      <c r="D324" s="85"/>
      <c r="E324" s="85"/>
    </row>
    <row r="325" ht="15.75" customHeight="1">
      <c r="D325" s="85"/>
      <c r="E325" s="85"/>
    </row>
    <row r="326" ht="15.75" customHeight="1">
      <c r="D326" s="85"/>
      <c r="E326" s="85"/>
    </row>
    <row r="327" ht="15.75" customHeight="1">
      <c r="D327" s="85"/>
      <c r="E327" s="85"/>
    </row>
    <row r="328" ht="15.75" customHeight="1">
      <c r="D328" s="85"/>
      <c r="E328" s="85"/>
    </row>
    <row r="329" ht="15.75" customHeight="1">
      <c r="D329" s="85"/>
      <c r="E329" s="85"/>
    </row>
    <row r="330" ht="15.75" customHeight="1">
      <c r="D330" s="85"/>
      <c r="E330" s="85"/>
    </row>
    <row r="331" ht="15.75" customHeight="1">
      <c r="D331" s="85"/>
      <c r="E331" s="85"/>
    </row>
    <row r="332" ht="15.75" customHeight="1">
      <c r="D332" s="85"/>
      <c r="E332" s="85"/>
    </row>
    <row r="333" ht="15.75" customHeight="1">
      <c r="D333" s="85"/>
      <c r="E333" s="85"/>
    </row>
    <row r="334" ht="15.75" customHeight="1">
      <c r="D334" s="85"/>
      <c r="E334" s="85"/>
    </row>
    <row r="335" ht="15.75" customHeight="1">
      <c r="D335" s="85"/>
      <c r="E335" s="85"/>
    </row>
    <row r="336" ht="15.75" customHeight="1">
      <c r="D336" s="85"/>
      <c r="E336" s="85"/>
    </row>
    <row r="337" ht="15.75" customHeight="1">
      <c r="D337" s="85"/>
      <c r="E337" s="85"/>
    </row>
    <row r="338" ht="15.75" customHeight="1">
      <c r="D338" s="85"/>
      <c r="E338" s="85"/>
    </row>
    <row r="339" ht="15.75" customHeight="1">
      <c r="D339" s="85"/>
      <c r="E339" s="85"/>
    </row>
    <row r="340" ht="15.75" customHeight="1">
      <c r="D340" s="85"/>
      <c r="E340" s="85"/>
    </row>
    <row r="341" ht="15.75" customHeight="1">
      <c r="D341" s="85"/>
      <c r="E341" s="85"/>
    </row>
    <row r="342" ht="15.75" customHeight="1">
      <c r="D342" s="85"/>
      <c r="E342" s="85"/>
    </row>
    <row r="343" ht="15.75" customHeight="1">
      <c r="D343" s="85"/>
      <c r="E343" s="85"/>
    </row>
    <row r="344" ht="15.75" customHeight="1">
      <c r="D344" s="85"/>
      <c r="E344" s="85"/>
    </row>
    <row r="345" ht="15.75" customHeight="1">
      <c r="D345" s="85"/>
      <c r="E345" s="85"/>
    </row>
    <row r="346" ht="15.75" customHeight="1">
      <c r="D346" s="85"/>
      <c r="E346" s="85"/>
    </row>
    <row r="347" ht="15.75" customHeight="1">
      <c r="D347" s="85"/>
      <c r="E347" s="85"/>
    </row>
    <row r="348" ht="15.75" customHeight="1">
      <c r="D348" s="85"/>
      <c r="E348" s="85"/>
    </row>
    <row r="349" ht="15.75" customHeight="1">
      <c r="D349" s="85"/>
      <c r="E349" s="85"/>
    </row>
    <row r="350" ht="15.75" customHeight="1">
      <c r="D350" s="85"/>
      <c r="E350" s="85"/>
    </row>
    <row r="351" ht="15.75" customHeight="1">
      <c r="D351" s="85"/>
      <c r="E351" s="85"/>
    </row>
    <row r="352" ht="15.75" customHeight="1">
      <c r="D352" s="85"/>
      <c r="E352" s="85"/>
    </row>
    <row r="353" ht="15.75" customHeight="1">
      <c r="D353" s="85"/>
      <c r="E353" s="85"/>
    </row>
    <row r="354" ht="15.75" customHeight="1">
      <c r="D354" s="85"/>
      <c r="E354" s="85"/>
    </row>
    <row r="355" ht="15.75" customHeight="1">
      <c r="D355" s="85"/>
      <c r="E355" s="85"/>
    </row>
    <row r="356" ht="15.75" customHeight="1">
      <c r="D356" s="85"/>
      <c r="E356" s="85"/>
    </row>
    <row r="357" ht="15.75" customHeight="1">
      <c r="D357" s="85"/>
      <c r="E357" s="85"/>
    </row>
    <row r="358" ht="15.75" customHeight="1">
      <c r="D358" s="85"/>
      <c r="E358" s="85"/>
    </row>
    <row r="359" ht="15.75" customHeight="1">
      <c r="D359" s="85"/>
      <c r="E359" s="85"/>
    </row>
    <row r="360" ht="15.75" customHeight="1">
      <c r="D360" s="85"/>
      <c r="E360" s="85"/>
    </row>
    <row r="361" ht="15.75" customHeight="1">
      <c r="D361" s="85"/>
      <c r="E361" s="85"/>
    </row>
    <row r="362" ht="15.75" customHeight="1">
      <c r="D362" s="85"/>
      <c r="E362" s="85"/>
    </row>
    <row r="363" ht="15.75" customHeight="1">
      <c r="D363" s="85"/>
      <c r="E363" s="85"/>
    </row>
    <row r="364" ht="15.75" customHeight="1">
      <c r="D364" s="85"/>
      <c r="E364" s="85"/>
    </row>
    <row r="365" ht="15.75" customHeight="1">
      <c r="D365" s="85"/>
      <c r="E365" s="85"/>
    </row>
    <row r="366" ht="15.75" customHeight="1">
      <c r="D366" s="85"/>
      <c r="E366" s="85"/>
    </row>
    <row r="367" ht="15.75" customHeight="1">
      <c r="D367" s="85"/>
      <c r="E367" s="85"/>
    </row>
    <row r="368" ht="15.75" customHeight="1">
      <c r="D368" s="85"/>
      <c r="E368" s="85"/>
    </row>
    <row r="369" ht="15.75" customHeight="1">
      <c r="D369" s="85"/>
      <c r="E369" s="85"/>
    </row>
    <row r="370" ht="15.75" customHeight="1">
      <c r="D370" s="85"/>
      <c r="E370" s="85"/>
    </row>
    <row r="371" ht="15.75" customHeight="1">
      <c r="D371" s="85"/>
      <c r="E371" s="85"/>
    </row>
    <row r="372" ht="15.75" customHeight="1">
      <c r="D372" s="85"/>
      <c r="E372" s="85"/>
    </row>
    <row r="373" ht="15.75" customHeight="1">
      <c r="D373" s="85"/>
      <c r="E373" s="85"/>
    </row>
    <row r="374" ht="15.75" customHeight="1">
      <c r="D374" s="85"/>
      <c r="E374" s="85"/>
    </row>
    <row r="375" ht="15.75" customHeight="1">
      <c r="D375" s="85"/>
      <c r="E375" s="85"/>
    </row>
    <row r="376" ht="15.75" customHeight="1">
      <c r="D376" s="85"/>
      <c r="E376" s="85"/>
    </row>
    <row r="377" ht="15.75" customHeight="1">
      <c r="D377" s="85"/>
      <c r="E377" s="85"/>
    </row>
    <row r="378" ht="15.75" customHeight="1">
      <c r="D378" s="85"/>
      <c r="E378" s="85"/>
    </row>
    <row r="379" ht="15.75" customHeight="1">
      <c r="D379" s="85"/>
      <c r="E379" s="85"/>
    </row>
    <row r="380" ht="15.75" customHeight="1">
      <c r="D380" s="85"/>
      <c r="E380" s="85"/>
    </row>
    <row r="381" ht="15.75" customHeight="1">
      <c r="D381" s="85"/>
      <c r="E381" s="85"/>
    </row>
    <row r="382" ht="15.75" customHeight="1">
      <c r="D382" s="85"/>
      <c r="E382" s="85"/>
    </row>
    <row r="383" ht="15.75" customHeight="1">
      <c r="D383" s="85"/>
      <c r="E383" s="85"/>
    </row>
    <row r="384" ht="15.75" customHeight="1">
      <c r="D384" s="85"/>
      <c r="E384" s="85"/>
    </row>
    <row r="385" ht="15.75" customHeight="1">
      <c r="D385" s="85"/>
      <c r="E385" s="85"/>
    </row>
    <row r="386" ht="15.75" customHeight="1">
      <c r="D386" s="85"/>
      <c r="E386" s="85"/>
    </row>
    <row r="387" ht="15.75" customHeight="1">
      <c r="D387" s="85"/>
      <c r="E387" s="85"/>
    </row>
    <row r="388" ht="15.75" customHeight="1">
      <c r="D388" s="85"/>
      <c r="E388" s="85"/>
    </row>
    <row r="389" ht="15.75" customHeight="1">
      <c r="D389" s="85"/>
      <c r="E389" s="85"/>
    </row>
    <row r="390" ht="15.75" customHeight="1">
      <c r="D390" s="85"/>
      <c r="E390" s="85"/>
    </row>
    <row r="391" ht="15.75" customHeight="1">
      <c r="D391" s="85"/>
      <c r="E391" s="85"/>
    </row>
    <row r="392" ht="15.75" customHeight="1">
      <c r="D392" s="85"/>
      <c r="E392" s="85"/>
    </row>
    <row r="393" ht="15.75" customHeight="1">
      <c r="D393" s="85"/>
      <c r="E393" s="85"/>
    </row>
    <row r="394" ht="15.75" customHeight="1">
      <c r="D394" s="85"/>
      <c r="E394" s="85"/>
    </row>
    <row r="395" ht="15.75" customHeight="1">
      <c r="D395" s="85"/>
      <c r="E395" s="85"/>
    </row>
    <row r="396" ht="15.75" customHeight="1">
      <c r="D396" s="85"/>
      <c r="E396" s="85"/>
    </row>
    <row r="397" ht="15.75" customHeight="1">
      <c r="D397" s="85"/>
      <c r="E397" s="85"/>
    </row>
    <row r="398" ht="15.75" customHeight="1">
      <c r="D398" s="85"/>
      <c r="E398" s="85"/>
    </row>
    <row r="399" ht="15.75" customHeight="1">
      <c r="D399" s="85"/>
      <c r="E399" s="85"/>
    </row>
    <row r="400" ht="15.75" customHeight="1">
      <c r="D400" s="85"/>
      <c r="E400" s="85"/>
    </row>
    <row r="401" ht="15.75" customHeight="1">
      <c r="D401" s="85"/>
      <c r="E401" s="85"/>
    </row>
    <row r="402" ht="15.75" customHeight="1">
      <c r="D402" s="85"/>
      <c r="E402" s="85"/>
    </row>
    <row r="403" ht="15.75" customHeight="1">
      <c r="D403" s="85"/>
      <c r="E403" s="85"/>
    </row>
    <row r="404" ht="15.75" customHeight="1">
      <c r="D404" s="85"/>
      <c r="E404" s="85"/>
    </row>
    <row r="405" ht="15.75" customHeight="1">
      <c r="D405" s="85"/>
      <c r="E405" s="85"/>
    </row>
    <row r="406" ht="15.75" customHeight="1">
      <c r="D406" s="85"/>
      <c r="E406" s="85"/>
    </row>
    <row r="407" ht="15.75" customHeight="1">
      <c r="D407" s="85"/>
      <c r="E407" s="85"/>
    </row>
    <row r="408" ht="15.75" customHeight="1">
      <c r="D408" s="85"/>
      <c r="E408" s="85"/>
    </row>
    <row r="409" ht="15.75" customHeight="1">
      <c r="D409" s="85"/>
      <c r="E409" s="85"/>
    </row>
    <row r="410" ht="15.75" customHeight="1">
      <c r="D410" s="85"/>
      <c r="E410" s="85"/>
    </row>
    <row r="411" ht="15.75" customHeight="1">
      <c r="D411" s="85"/>
      <c r="E411" s="85"/>
    </row>
    <row r="412" ht="15.75" customHeight="1">
      <c r="D412" s="85"/>
      <c r="E412" s="85"/>
    </row>
    <row r="413" ht="15.75" customHeight="1">
      <c r="D413" s="85"/>
      <c r="E413" s="85"/>
    </row>
    <row r="414" ht="15.75" customHeight="1">
      <c r="D414" s="85"/>
      <c r="E414" s="85"/>
    </row>
    <row r="415" ht="15.75" customHeight="1">
      <c r="D415" s="85"/>
      <c r="E415" s="85"/>
    </row>
    <row r="416" ht="15.75" customHeight="1">
      <c r="D416" s="85"/>
      <c r="E416" s="85"/>
    </row>
    <row r="417" ht="15.75" customHeight="1">
      <c r="D417" s="85"/>
      <c r="E417" s="85"/>
    </row>
    <row r="418" ht="15.75" customHeight="1">
      <c r="D418" s="85"/>
      <c r="E418" s="85"/>
    </row>
    <row r="419" ht="15.75" customHeight="1">
      <c r="D419" s="85"/>
      <c r="E419" s="85"/>
    </row>
    <row r="420" ht="15.75" customHeight="1">
      <c r="D420" s="85"/>
      <c r="E420" s="85"/>
    </row>
    <row r="421" ht="15.75" customHeight="1">
      <c r="D421" s="85"/>
      <c r="E421" s="85"/>
    </row>
    <row r="422" ht="15.75" customHeight="1">
      <c r="D422" s="85"/>
      <c r="E422" s="85"/>
    </row>
    <row r="423" ht="15.75" customHeight="1">
      <c r="D423" s="85"/>
      <c r="E423" s="85"/>
    </row>
    <row r="424" ht="15.75" customHeight="1">
      <c r="D424" s="85"/>
      <c r="E424" s="85"/>
    </row>
    <row r="425" ht="15.75" customHeight="1">
      <c r="D425" s="85"/>
      <c r="E425" s="85"/>
    </row>
    <row r="426" ht="15.75" customHeight="1">
      <c r="D426" s="85"/>
      <c r="E426" s="85"/>
    </row>
    <row r="427" ht="15.75" customHeight="1">
      <c r="D427" s="85"/>
      <c r="E427" s="85"/>
    </row>
    <row r="428" ht="15.75" customHeight="1">
      <c r="D428" s="85"/>
      <c r="E428" s="85"/>
    </row>
    <row r="429" ht="15.75" customHeight="1">
      <c r="D429" s="85"/>
      <c r="E429" s="85"/>
    </row>
    <row r="430" ht="15.75" customHeight="1">
      <c r="D430" s="85"/>
      <c r="E430" s="85"/>
    </row>
    <row r="431" ht="15.75" customHeight="1">
      <c r="D431" s="85"/>
      <c r="E431" s="85"/>
    </row>
    <row r="432" ht="15.75" customHeight="1">
      <c r="D432" s="85"/>
      <c r="E432" s="85"/>
    </row>
    <row r="433" ht="15.75" customHeight="1">
      <c r="D433" s="85"/>
      <c r="E433" s="85"/>
    </row>
    <row r="434" ht="15.75" customHeight="1">
      <c r="D434" s="85"/>
      <c r="E434" s="85"/>
    </row>
    <row r="435" ht="15.75" customHeight="1">
      <c r="D435" s="85"/>
      <c r="E435" s="85"/>
    </row>
    <row r="436" ht="15.75" customHeight="1">
      <c r="D436" s="85"/>
      <c r="E436" s="85"/>
    </row>
    <row r="437" ht="15.75" customHeight="1">
      <c r="D437" s="85"/>
      <c r="E437" s="85"/>
    </row>
    <row r="438" ht="15.75" customHeight="1">
      <c r="D438" s="85"/>
      <c r="E438" s="85"/>
    </row>
    <row r="439" ht="15.75" customHeight="1">
      <c r="D439" s="85"/>
      <c r="E439" s="85"/>
    </row>
    <row r="440" ht="15.75" customHeight="1">
      <c r="D440" s="85"/>
      <c r="E440" s="85"/>
    </row>
    <row r="441" ht="15.75" customHeight="1">
      <c r="D441" s="85"/>
      <c r="E441" s="85"/>
    </row>
    <row r="442" ht="15.75" customHeight="1">
      <c r="D442" s="85"/>
      <c r="E442" s="85"/>
    </row>
    <row r="443" ht="15.75" customHeight="1">
      <c r="D443" s="85"/>
      <c r="E443" s="85"/>
    </row>
    <row r="444" ht="15.75" customHeight="1">
      <c r="D444" s="85"/>
      <c r="E444" s="85"/>
    </row>
    <row r="445" ht="15.75" customHeight="1">
      <c r="D445" s="85"/>
      <c r="E445" s="85"/>
    </row>
    <row r="446" ht="15.75" customHeight="1">
      <c r="D446" s="85"/>
      <c r="E446" s="85"/>
    </row>
    <row r="447" ht="15.75" customHeight="1">
      <c r="D447" s="85"/>
      <c r="E447" s="85"/>
    </row>
    <row r="448" ht="15.75" customHeight="1">
      <c r="D448" s="85"/>
      <c r="E448" s="85"/>
    </row>
    <row r="449" ht="15.75" customHeight="1">
      <c r="D449" s="85"/>
      <c r="E449" s="85"/>
    </row>
    <row r="450" ht="15.75" customHeight="1">
      <c r="D450" s="85"/>
      <c r="E450" s="85"/>
    </row>
    <row r="451" ht="15.75" customHeight="1">
      <c r="D451" s="85"/>
      <c r="E451" s="85"/>
    </row>
    <row r="452" ht="15.75" customHeight="1">
      <c r="D452" s="85"/>
      <c r="E452" s="85"/>
    </row>
    <row r="453" ht="15.75" customHeight="1">
      <c r="D453" s="85"/>
      <c r="E453" s="85"/>
    </row>
    <row r="454" ht="15.75" customHeight="1">
      <c r="D454" s="85"/>
      <c r="E454" s="85"/>
    </row>
    <row r="455" ht="15.75" customHeight="1">
      <c r="D455" s="85"/>
      <c r="E455" s="85"/>
    </row>
    <row r="456" ht="15.75" customHeight="1">
      <c r="D456" s="85"/>
      <c r="E456" s="85"/>
    </row>
    <row r="457" ht="15.75" customHeight="1">
      <c r="D457" s="85"/>
      <c r="E457" s="85"/>
    </row>
    <row r="458" ht="15.75" customHeight="1">
      <c r="D458" s="85"/>
      <c r="E458" s="85"/>
    </row>
    <row r="459" ht="15.75" customHeight="1">
      <c r="D459" s="85"/>
      <c r="E459" s="85"/>
    </row>
    <row r="460" ht="15.75" customHeight="1">
      <c r="D460" s="85"/>
      <c r="E460" s="85"/>
    </row>
    <row r="461" ht="15.75" customHeight="1">
      <c r="D461" s="85"/>
      <c r="E461" s="85"/>
    </row>
    <row r="462" ht="15.75" customHeight="1">
      <c r="D462" s="85"/>
      <c r="E462" s="85"/>
    </row>
    <row r="463" ht="15.75" customHeight="1">
      <c r="D463" s="85"/>
      <c r="E463" s="85"/>
    </row>
    <row r="464" ht="15.75" customHeight="1">
      <c r="D464" s="85"/>
      <c r="E464" s="85"/>
    </row>
    <row r="465" ht="15.75" customHeight="1">
      <c r="D465" s="85"/>
      <c r="E465" s="85"/>
    </row>
    <row r="466" ht="15.75" customHeight="1">
      <c r="D466" s="85"/>
      <c r="E466" s="85"/>
    </row>
    <row r="467" ht="15.75" customHeight="1">
      <c r="D467" s="85"/>
      <c r="E467" s="85"/>
    </row>
    <row r="468" ht="15.75" customHeight="1">
      <c r="D468" s="85"/>
      <c r="E468" s="85"/>
    </row>
    <row r="469" ht="15.75" customHeight="1">
      <c r="D469" s="85"/>
      <c r="E469" s="85"/>
    </row>
    <row r="470" ht="15.75" customHeight="1">
      <c r="D470" s="85"/>
      <c r="E470" s="85"/>
    </row>
    <row r="471" ht="15.75" customHeight="1">
      <c r="D471" s="85"/>
      <c r="E471" s="85"/>
    </row>
    <row r="472" ht="15.75" customHeight="1">
      <c r="D472" s="85"/>
      <c r="E472" s="85"/>
    </row>
    <row r="473" ht="15.75" customHeight="1">
      <c r="D473" s="85"/>
      <c r="E473" s="85"/>
    </row>
    <row r="474" ht="15.75" customHeight="1">
      <c r="D474" s="85"/>
      <c r="E474" s="85"/>
    </row>
    <row r="475" ht="15.75" customHeight="1">
      <c r="D475" s="85"/>
      <c r="E475" s="85"/>
    </row>
    <row r="476" ht="15.75" customHeight="1">
      <c r="D476" s="85"/>
      <c r="E476" s="85"/>
    </row>
    <row r="477" ht="15.75" customHeight="1">
      <c r="D477" s="85"/>
      <c r="E477" s="85"/>
    </row>
    <row r="478" ht="15.75" customHeight="1">
      <c r="D478" s="85"/>
      <c r="E478" s="85"/>
    </row>
    <row r="479" ht="15.75" customHeight="1">
      <c r="D479" s="85"/>
      <c r="E479" s="85"/>
    </row>
    <row r="480" ht="15.75" customHeight="1">
      <c r="D480" s="85"/>
      <c r="E480" s="85"/>
    </row>
    <row r="481" ht="15.75" customHeight="1">
      <c r="D481" s="85"/>
      <c r="E481" s="85"/>
    </row>
    <row r="482" ht="15.75" customHeight="1">
      <c r="D482" s="85"/>
      <c r="E482" s="85"/>
    </row>
    <row r="483" ht="15.75" customHeight="1">
      <c r="D483" s="85"/>
      <c r="E483" s="85"/>
    </row>
    <row r="484" ht="15.75" customHeight="1">
      <c r="D484" s="85"/>
      <c r="E484" s="85"/>
    </row>
    <row r="485" ht="15.75" customHeight="1">
      <c r="D485" s="85"/>
      <c r="E485" s="85"/>
    </row>
    <row r="486" ht="15.75" customHeight="1">
      <c r="D486" s="85"/>
      <c r="E486" s="85"/>
    </row>
    <row r="487" ht="15.75" customHeight="1">
      <c r="D487" s="85"/>
      <c r="E487" s="85"/>
    </row>
    <row r="488" ht="15.75" customHeight="1">
      <c r="D488" s="85"/>
      <c r="E488" s="85"/>
    </row>
    <row r="489" ht="15.75" customHeight="1">
      <c r="D489" s="85"/>
      <c r="E489" s="85"/>
    </row>
    <row r="490" ht="15.75" customHeight="1">
      <c r="D490" s="85"/>
      <c r="E490" s="85"/>
    </row>
    <row r="491" ht="15.75" customHeight="1">
      <c r="D491" s="85"/>
      <c r="E491" s="85"/>
    </row>
    <row r="492" ht="15.75" customHeight="1">
      <c r="D492" s="85"/>
      <c r="E492" s="85"/>
    </row>
    <row r="493" ht="15.75" customHeight="1">
      <c r="D493" s="85"/>
      <c r="E493" s="85"/>
    </row>
    <row r="494" ht="15.75" customHeight="1">
      <c r="D494" s="85"/>
      <c r="E494" s="85"/>
    </row>
    <row r="495" ht="15.75" customHeight="1">
      <c r="D495" s="85"/>
      <c r="E495" s="85"/>
    </row>
    <row r="496" ht="15.75" customHeight="1">
      <c r="D496" s="85"/>
      <c r="E496" s="85"/>
    </row>
    <row r="497" ht="15.75" customHeight="1">
      <c r="D497" s="85"/>
      <c r="E497" s="85"/>
    </row>
    <row r="498" ht="15.75" customHeight="1">
      <c r="D498" s="85"/>
      <c r="E498" s="85"/>
    </row>
    <row r="499" ht="15.75" customHeight="1">
      <c r="D499" s="85"/>
      <c r="E499" s="85"/>
    </row>
    <row r="500" ht="15.75" customHeight="1">
      <c r="D500" s="85"/>
      <c r="E500" s="85"/>
    </row>
    <row r="501" ht="15.75" customHeight="1">
      <c r="D501" s="85"/>
      <c r="E501" s="85"/>
    </row>
    <row r="502" ht="15.75" customHeight="1">
      <c r="D502" s="85"/>
      <c r="E502" s="85"/>
    </row>
    <row r="503" ht="15.75" customHeight="1">
      <c r="D503" s="85"/>
      <c r="E503" s="85"/>
    </row>
    <row r="504" ht="15.75" customHeight="1">
      <c r="D504" s="85"/>
      <c r="E504" s="85"/>
    </row>
    <row r="505" ht="15.75" customHeight="1">
      <c r="D505" s="85"/>
      <c r="E505" s="85"/>
    </row>
    <row r="506" ht="15.75" customHeight="1">
      <c r="D506" s="85"/>
      <c r="E506" s="85"/>
    </row>
    <row r="507" ht="15.75" customHeight="1">
      <c r="D507" s="85"/>
      <c r="E507" s="85"/>
    </row>
    <row r="508" ht="15.75" customHeight="1">
      <c r="D508" s="85"/>
      <c r="E508" s="85"/>
    </row>
    <row r="509" ht="15.75" customHeight="1">
      <c r="D509" s="85"/>
      <c r="E509" s="85"/>
    </row>
    <row r="510" ht="15.75" customHeight="1">
      <c r="D510" s="85"/>
      <c r="E510" s="85"/>
    </row>
    <row r="511" ht="15.75" customHeight="1">
      <c r="D511" s="85"/>
      <c r="E511" s="85"/>
    </row>
    <row r="512" ht="15.75" customHeight="1">
      <c r="D512" s="85"/>
      <c r="E512" s="85"/>
    </row>
    <row r="513" ht="15.75" customHeight="1">
      <c r="D513" s="85"/>
      <c r="E513" s="85"/>
    </row>
    <row r="514" ht="15.75" customHeight="1">
      <c r="D514" s="85"/>
      <c r="E514" s="85"/>
    </row>
    <row r="515" ht="15.75" customHeight="1">
      <c r="D515" s="85"/>
      <c r="E515" s="85"/>
    </row>
    <row r="516" ht="15.75" customHeight="1">
      <c r="D516" s="85"/>
      <c r="E516" s="85"/>
    </row>
    <row r="517" ht="15.75" customHeight="1">
      <c r="D517" s="85"/>
      <c r="E517" s="85"/>
    </row>
    <row r="518" ht="15.75" customHeight="1">
      <c r="D518" s="85"/>
      <c r="E518" s="85"/>
    </row>
    <row r="519" ht="15.75" customHeight="1">
      <c r="D519" s="85"/>
      <c r="E519" s="85"/>
    </row>
    <row r="520" ht="15.75" customHeight="1">
      <c r="D520" s="85"/>
      <c r="E520" s="85"/>
    </row>
    <row r="521" ht="15.75" customHeight="1">
      <c r="D521" s="85"/>
      <c r="E521" s="85"/>
    </row>
    <row r="522" ht="15.75" customHeight="1">
      <c r="D522" s="85"/>
      <c r="E522" s="85"/>
    </row>
    <row r="523" ht="15.75" customHeight="1">
      <c r="D523" s="85"/>
      <c r="E523" s="85"/>
    </row>
    <row r="524" ht="15.75" customHeight="1">
      <c r="D524" s="85"/>
      <c r="E524" s="85"/>
    </row>
    <row r="525" ht="15.75" customHeight="1">
      <c r="D525" s="85"/>
      <c r="E525" s="85"/>
    </row>
    <row r="526" ht="15.75" customHeight="1">
      <c r="D526" s="85"/>
      <c r="E526" s="85"/>
    </row>
    <row r="527" ht="15.75" customHeight="1">
      <c r="D527" s="85"/>
      <c r="E527" s="85"/>
    </row>
    <row r="528" ht="15.75" customHeight="1">
      <c r="D528" s="85"/>
      <c r="E528" s="85"/>
    </row>
    <row r="529" ht="15.75" customHeight="1">
      <c r="D529" s="85"/>
      <c r="E529" s="85"/>
    </row>
    <row r="530" ht="15.75" customHeight="1">
      <c r="D530" s="85"/>
      <c r="E530" s="85"/>
    </row>
    <row r="531" ht="15.75" customHeight="1">
      <c r="D531" s="85"/>
      <c r="E531" s="85"/>
    </row>
    <row r="532" ht="15.75" customHeight="1">
      <c r="D532" s="85"/>
      <c r="E532" s="85"/>
    </row>
    <row r="533" ht="15.75" customHeight="1">
      <c r="D533" s="85"/>
      <c r="E533" s="85"/>
    </row>
    <row r="534" ht="15.75" customHeight="1">
      <c r="D534" s="85"/>
      <c r="E534" s="85"/>
    </row>
    <row r="535" ht="15.75" customHeight="1">
      <c r="D535" s="85"/>
      <c r="E535" s="85"/>
    </row>
    <row r="536" ht="15.75" customHeight="1">
      <c r="D536" s="85"/>
      <c r="E536" s="85"/>
    </row>
    <row r="537" ht="15.75" customHeight="1">
      <c r="D537" s="85"/>
      <c r="E537" s="85"/>
    </row>
    <row r="538" ht="15.75" customHeight="1">
      <c r="D538" s="85"/>
      <c r="E538" s="85"/>
    </row>
    <row r="539" ht="15.75" customHeight="1">
      <c r="D539" s="85"/>
      <c r="E539" s="85"/>
    </row>
    <row r="540" ht="15.75" customHeight="1">
      <c r="D540" s="85"/>
      <c r="E540" s="85"/>
    </row>
    <row r="541" ht="15.75" customHeight="1">
      <c r="D541" s="85"/>
      <c r="E541" s="85"/>
    </row>
    <row r="542" ht="15.75" customHeight="1">
      <c r="D542" s="85"/>
      <c r="E542" s="85"/>
    </row>
    <row r="543" ht="15.75" customHeight="1">
      <c r="D543" s="85"/>
      <c r="E543" s="85"/>
    </row>
    <row r="544" ht="15.75" customHeight="1">
      <c r="D544" s="85"/>
      <c r="E544" s="85"/>
    </row>
    <row r="545" ht="15.75" customHeight="1">
      <c r="D545" s="85"/>
      <c r="E545" s="85"/>
    </row>
    <row r="546" ht="15.75" customHeight="1">
      <c r="D546" s="85"/>
      <c r="E546" s="85"/>
    </row>
    <row r="547" ht="15.75" customHeight="1">
      <c r="D547" s="85"/>
      <c r="E547" s="85"/>
    </row>
    <row r="548" ht="15.75" customHeight="1">
      <c r="D548" s="85"/>
      <c r="E548" s="85"/>
    </row>
    <row r="549" ht="15.75" customHeight="1">
      <c r="D549" s="85"/>
      <c r="E549" s="85"/>
    </row>
    <row r="550" ht="15.75" customHeight="1">
      <c r="D550" s="85"/>
      <c r="E550" s="85"/>
    </row>
    <row r="551" ht="15.75" customHeight="1">
      <c r="D551" s="85"/>
      <c r="E551" s="85"/>
    </row>
    <row r="552" ht="15.75" customHeight="1">
      <c r="D552" s="85"/>
      <c r="E552" s="85"/>
    </row>
    <row r="553" ht="15.75" customHeight="1">
      <c r="D553" s="85"/>
      <c r="E553" s="85"/>
    </row>
    <row r="554" ht="15.75" customHeight="1">
      <c r="D554" s="85"/>
      <c r="E554" s="85"/>
    </row>
    <row r="555" ht="15.75" customHeight="1">
      <c r="D555" s="85"/>
      <c r="E555" s="85"/>
    </row>
    <row r="556" ht="15.75" customHeight="1">
      <c r="D556" s="85"/>
      <c r="E556" s="85"/>
    </row>
    <row r="557" ht="15.75" customHeight="1">
      <c r="D557" s="85"/>
      <c r="E557" s="85"/>
    </row>
    <row r="558" ht="15.75" customHeight="1">
      <c r="D558" s="85"/>
      <c r="E558" s="85"/>
    </row>
    <row r="559" ht="15.75" customHeight="1">
      <c r="D559" s="85"/>
      <c r="E559" s="85"/>
    </row>
    <row r="560" ht="15.75" customHeight="1">
      <c r="D560" s="85"/>
      <c r="E560" s="85"/>
    </row>
    <row r="561" ht="15.75" customHeight="1">
      <c r="D561" s="85"/>
      <c r="E561" s="85"/>
    </row>
    <row r="562" ht="15.75" customHeight="1">
      <c r="D562" s="85"/>
      <c r="E562" s="85"/>
    </row>
    <row r="563" ht="15.75" customHeight="1">
      <c r="D563" s="85"/>
      <c r="E563" s="85"/>
    </row>
    <row r="564" ht="15.75" customHeight="1">
      <c r="D564" s="85"/>
      <c r="E564" s="85"/>
    </row>
    <row r="565" ht="15.75" customHeight="1">
      <c r="D565" s="85"/>
      <c r="E565" s="85"/>
    </row>
    <row r="566" ht="15.75" customHeight="1">
      <c r="D566" s="85"/>
      <c r="E566" s="85"/>
    </row>
    <row r="567" ht="15.75" customHeight="1">
      <c r="D567" s="85"/>
      <c r="E567" s="85"/>
    </row>
    <row r="568" ht="15.75" customHeight="1">
      <c r="D568" s="85"/>
      <c r="E568" s="85"/>
    </row>
    <row r="569" ht="15.75" customHeight="1">
      <c r="D569" s="85"/>
      <c r="E569" s="85"/>
    </row>
    <row r="570" ht="15.75" customHeight="1">
      <c r="D570" s="85"/>
      <c r="E570" s="85"/>
    </row>
    <row r="571" ht="15.75" customHeight="1">
      <c r="D571" s="85"/>
      <c r="E571" s="85"/>
    </row>
    <row r="572" ht="15.75" customHeight="1">
      <c r="D572" s="85"/>
      <c r="E572" s="85"/>
    </row>
    <row r="573" ht="15.75" customHeight="1">
      <c r="D573" s="85"/>
      <c r="E573" s="85"/>
    </row>
    <row r="574" ht="15.75" customHeight="1">
      <c r="D574" s="85"/>
      <c r="E574" s="85"/>
    </row>
    <row r="575" ht="15.75" customHeight="1">
      <c r="D575" s="85"/>
      <c r="E575" s="85"/>
    </row>
    <row r="576" ht="15.75" customHeight="1">
      <c r="D576" s="85"/>
      <c r="E576" s="85"/>
    </row>
    <row r="577" ht="15.75" customHeight="1">
      <c r="D577" s="85"/>
      <c r="E577" s="85"/>
    </row>
    <row r="578" ht="15.75" customHeight="1">
      <c r="D578" s="85"/>
      <c r="E578" s="85"/>
    </row>
    <row r="579" ht="15.75" customHeight="1">
      <c r="D579" s="85"/>
      <c r="E579" s="85"/>
    </row>
    <row r="580" ht="15.75" customHeight="1">
      <c r="D580" s="85"/>
      <c r="E580" s="85"/>
    </row>
    <row r="581" ht="15.75" customHeight="1">
      <c r="D581" s="85"/>
      <c r="E581" s="85"/>
    </row>
    <row r="582" ht="15.75" customHeight="1">
      <c r="D582" s="85"/>
      <c r="E582" s="85"/>
    </row>
    <row r="583" ht="15.75" customHeight="1">
      <c r="D583" s="85"/>
      <c r="E583" s="85"/>
    </row>
    <row r="584" ht="15.75" customHeight="1">
      <c r="D584" s="85"/>
      <c r="E584" s="85"/>
    </row>
    <row r="585" ht="15.75" customHeight="1">
      <c r="D585" s="85"/>
      <c r="E585" s="85"/>
    </row>
    <row r="586" ht="15.75" customHeight="1">
      <c r="D586" s="85"/>
      <c r="E586" s="85"/>
    </row>
    <row r="587" ht="15.75" customHeight="1">
      <c r="D587" s="85"/>
      <c r="E587" s="85"/>
    </row>
    <row r="588" ht="15.75" customHeight="1">
      <c r="D588" s="85"/>
      <c r="E588" s="85"/>
    </row>
    <row r="589" ht="15.75" customHeight="1">
      <c r="D589" s="85"/>
      <c r="E589" s="85"/>
    </row>
    <row r="590" ht="15.75" customHeight="1">
      <c r="D590" s="85"/>
      <c r="E590" s="85"/>
    </row>
    <row r="591" ht="15.75" customHeight="1">
      <c r="D591" s="85"/>
      <c r="E591" s="85"/>
    </row>
    <row r="592" ht="15.75" customHeight="1">
      <c r="D592" s="85"/>
      <c r="E592" s="85"/>
    </row>
    <row r="593" ht="15.75" customHeight="1">
      <c r="D593" s="85"/>
      <c r="E593" s="85"/>
    </row>
    <row r="594" ht="15.75" customHeight="1">
      <c r="D594" s="85"/>
      <c r="E594" s="85"/>
    </row>
    <row r="595" ht="15.75" customHeight="1">
      <c r="D595" s="85"/>
      <c r="E595" s="85"/>
    </row>
    <row r="596" ht="15.75" customHeight="1">
      <c r="D596" s="85"/>
      <c r="E596" s="85"/>
    </row>
    <row r="597" ht="15.75" customHeight="1">
      <c r="D597" s="85"/>
      <c r="E597" s="85"/>
    </row>
    <row r="598" ht="15.75" customHeight="1">
      <c r="D598" s="85"/>
      <c r="E598" s="85"/>
    </row>
    <row r="599" ht="15.75" customHeight="1">
      <c r="D599" s="85"/>
      <c r="E599" s="85"/>
    </row>
    <row r="600" ht="15.75" customHeight="1">
      <c r="D600" s="85"/>
      <c r="E600" s="85"/>
    </row>
    <row r="601" ht="15.75" customHeight="1">
      <c r="D601" s="85"/>
      <c r="E601" s="85"/>
    </row>
    <row r="602" ht="15.75" customHeight="1">
      <c r="D602" s="85"/>
      <c r="E602" s="85"/>
    </row>
    <row r="603" ht="15.75" customHeight="1">
      <c r="D603" s="85"/>
      <c r="E603" s="85"/>
    </row>
    <row r="604" ht="15.75" customHeight="1">
      <c r="D604" s="85"/>
      <c r="E604" s="85"/>
    </row>
    <row r="605" ht="15.75" customHeight="1">
      <c r="D605" s="85"/>
      <c r="E605" s="85"/>
    </row>
    <row r="606" ht="15.75" customHeight="1">
      <c r="D606" s="85"/>
      <c r="E606" s="85"/>
    </row>
    <row r="607" ht="15.75" customHeight="1">
      <c r="D607" s="85"/>
      <c r="E607" s="85"/>
    </row>
    <row r="608" ht="15.75" customHeight="1">
      <c r="D608" s="85"/>
      <c r="E608" s="85"/>
    </row>
    <row r="609" ht="15.75" customHeight="1">
      <c r="D609" s="85"/>
      <c r="E609" s="85"/>
    </row>
    <row r="610" ht="15.75" customHeight="1">
      <c r="D610" s="85"/>
      <c r="E610" s="85"/>
    </row>
    <row r="611" ht="15.75" customHeight="1">
      <c r="D611" s="85"/>
      <c r="E611" s="85"/>
    </row>
    <row r="612" ht="15.75" customHeight="1">
      <c r="D612" s="85"/>
      <c r="E612" s="85"/>
    </row>
    <row r="613" ht="15.75" customHeight="1">
      <c r="D613" s="85"/>
      <c r="E613" s="85"/>
    </row>
    <row r="614" ht="15.75" customHeight="1">
      <c r="D614" s="85"/>
      <c r="E614" s="85"/>
    </row>
    <row r="615" ht="15.75" customHeight="1">
      <c r="D615" s="85"/>
      <c r="E615" s="85"/>
    </row>
    <row r="616" ht="15.75" customHeight="1">
      <c r="D616" s="85"/>
      <c r="E616" s="85"/>
    </row>
    <row r="617" ht="15.75" customHeight="1">
      <c r="D617" s="85"/>
      <c r="E617" s="85"/>
    </row>
    <row r="618" ht="15.75" customHeight="1">
      <c r="D618" s="85"/>
      <c r="E618" s="85"/>
    </row>
    <row r="619" ht="15.75" customHeight="1">
      <c r="D619" s="85"/>
      <c r="E619" s="85"/>
    </row>
    <row r="620" ht="15.75" customHeight="1">
      <c r="D620" s="85"/>
      <c r="E620" s="85"/>
    </row>
    <row r="621" ht="15.75" customHeight="1">
      <c r="D621" s="85"/>
      <c r="E621" s="85"/>
    </row>
    <row r="622" ht="15.75" customHeight="1">
      <c r="D622" s="85"/>
      <c r="E622" s="85"/>
    </row>
    <row r="623" ht="15.75" customHeight="1">
      <c r="D623" s="85"/>
      <c r="E623" s="85"/>
    </row>
    <row r="624" ht="15.75" customHeight="1">
      <c r="D624" s="85"/>
      <c r="E624" s="85"/>
    </row>
    <row r="625" ht="15.75" customHeight="1">
      <c r="D625" s="85"/>
      <c r="E625" s="85"/>
    </row>
    <row r="626" ht="15.75" customHeight="1">
      <c r="D626" s="85"/>
      <c r="E626" s="85"/>
    </row>
    <row r="627" ht="15.75" customHeight="1">
      <c r="D627" s="85"/>
      <c r="E627" s="85"/>
    </row>
    <row r="628" ht="15.75" customHeight="1">
      <c r="D628" s="85"/>
      <c r="E628" s="85"/>
    </row>
    <row r="629" ht="15.75" customHeight="1">
      <c r="D629" s="85"/>
      <c r="E629" s="85"/>
    </row>
    <row r="630" ht="15.75" customHeight="1">
      <c r="D630" s="85"/>
      <c r="E630" s="85"/>
    </row>
    <row r="631" ht="15.75" customHeight="1">
      <c r="D631" s="85"/>
      <c r="E631" s="85"/>
    </row>
    <row r="632" ht="15.75" customHeight="1">
      <c r="D632" s="85"/>
      <c r="E632" s="85"/>
    </row>
    <row r="633" ht="15.75" customHeight="1">
      <c r="D633" s="85"/>
      <c r="E633" s="85"/>
    </row>
    <row r="634" ht="15.75" customHeight="1">
      <c r="D634" s="85"/>
      <c r="E634" s="85"/>
    </row>
    <row r="635" ht="15.75" customHeight="1">
      <c r="D635" s="85"/>
      <c r="E635" s="85"/>
    </row>
    <row r="636" ht="15.75" customHeight="1">
      <c r="D636" s="85"/>
      <c r="E636" s="85"/>
    </row>
    <row r="637" ht="15.75" customHeight="1">
      <c r="D637" s="85"/>
      <c r="E637" s="85"/>
    </row>
    <row r="638" ht="15.75" customHeight="1">
      <c r="D638" s="85"/>
      <c r="E638" s="85"/>
    </row>
    <row r="639" ht="15.75" customHeight="1">
      <c r="D639" s="85"/>
      <c r="E639" s="85"/>
    </row>
    <row r="640" ht="15.75" customHeight="1">
      <c r="D640" s="85"/>
      <c r="E640" s="85"/>
    </row>
    <row r="641" ht="15.75" customHeight="1">
      <c r="D641" s="85"/>
      <c r="E641" s="85"/>
    </row>
    <row r="642" ht="15.75" customHeight="1">
      <c r="D642" s="85"/>
      <c r="E642" s="85"/>
    </row>
    <row r="643" ht="15.75" customHeight="1">
      <c r="D643" s="85"/>
      <c r="E643" s="85"/>
    </row>
    <row r="644" ht="15.75" customHeight="1">
      <c r="D644" s="85"/>
      <c r="E644" s="85"/>
    </row>
    <row r="645" ht="15.75" customHeight="1">
      <c r="D645" s="85"/>
      <c r="E645" s="85"/>
    </row>
    <row r="646" ht="15.75" customHeight="1">
      <c r="D646" s="85"/>
      <c r="E646" s="85"/>
    </row>
    <row r="647" ht="15.75" customHeight="1">
      <c r="D647" s="85"/>
      <c r="E647" s="85"/>
    </row>
    <row r="648" ht="15.75" customHeight="1">
      <c r="D648" s="85"/>
      <c r="E648" s="85"/>
    </row>
    <row r="649" ht="15.75" customHeight="1">
      <c r="D649" s="85"/>
      <c r="E649" s="85"/>
    </row>
    <row r="650" ht="15.75" customHeight="1">
      <c r="D650" s="85"/>
      <c r="E650" s="85"/>
    </row>
    <row r="651" ht="15.75" customHeight="1">
      <c r="D651" s="85"/>
      <c r="E651" s="85"/>
    </row>
    <row r="652" ht="15.75" customHeight="1">
      <c r="D652" s="85"/>
      <c r="E652" s="85"/>
    </row>
    <row r="653" ht="15.75" customHeight="1">
      <c r="D653" s="85"/>
      <c r="E653" s="85"/>
    </row>
    <row r="654" ht="15.75" customHeight="1">
      <c r="D654" s="85"/>
      <c r="E654" s="85"/>
    </row>
    <row r="655" ht="15.75" customHeight="1">
      <c r="D655" s="85"/>
      <c r="E655" s="85"/>
    </row>
    <row r="656" ht="15.75" customHeight="1">
      <c r="D656" s="85"/>
      <c r="E656" s="85"/>
    </row>
    <row r="657" ht="15.75" customHeight="1">
      <c r="D657" s="85"/>
      <c r="E657" s="85"/>
    </row>
    <row r="658" ht="15.75" customHeight="1">
      <c r="D658" s="85"/>
      <c r="E658" s="85"/>
    </row>
    <row r="659" ht="15.75" customHeight="1">
      <c r="D659" s="85"/>
      <c r="E659" s="85"/>
    </row>
    <row r="660" ht="15.75" customHeight="1">
      <c r="D660" s="85"/>
      <c r="E660" s="85"/>
    </row>
    <row r="661" ht="15.75" customHeight="1">
      <c r="D661" s="85"/>
      <c r="E661" s="85"/>
    </row>
    <row r="662" ht="15.75" customHeight="1">
      <c r="D662" s="85"/>
      <c r="E662" s="85"/>
    </row>
    <row r="663" ht="15.75" customHeight="1">
      <c r="D663" s="85"/>
      <c r="E663" s="85"/>
    </row>
    <row r="664" ht="15.75" customHeight="1">
      <c r="D664" s="85"/>
      <c r="E664" s="85"/>
    </row>
    <row r="665" ht="15.75" customHeight="1">
      <c r="D665" s="85"/>
      <c r="E665" s="85"/>
    </row>
    <row r="666" ht="15.75" customHeight="1">
      <c r="D666" s="85"/>
      <c r="E666" s="85"/>
    </row>
    <row r="667" ht="15.75" customHeight="1">
      <c r="D667" s="85"/>
      <c r="E667" s="85"/>
    </row>
    <row r="668" ht="15.75" customHeight="1">
      <c r="D668" s="85"/>
      <c r="E668" s="85"/>
    </row>
    <row r="669" ht="15.75" customHeight="1">
      <c r="D669" s="85"/>
      <c r="E669" s="85"/>
    </row>
    <row r="670" ht="15.75" customHeight="1">
      <c r="D670" s="85"/>
      <c r="E670" s="85"/>
    </row>
    <row r="671" ht="15.75" customHeight="1">
      <c r="D671" s="85"/>
      <c r="E671" s="85"/>
    </row>
    <row r="672" ht="15.75" customHeight="1">
      <c r="D672" s="85"/>
      <c r="E672" s="85"/>
    </row>
    <row r="673" ht="15.75" customHeight="1">
      <c r="D673" s="85"/>
      <c r="E673" s="85"/>
    </row>
    <row r="674" ht="15.75" customHeight="1">
      <c r="D674" s="85"/>
      <c r="E674" s="85"/>
    </row>
    <row r="675" ht="15.75" customHeight="1">
      <c r="D675" s="85"/>
      <c r="E675" s="85"/>
    </row>
    <row r="676" ht="15.75" customHeight="1">
      <c r="D676" s="85"/>
      <c r="E676" s="85"/>
    </row>
    <row r="677" ht="15.75" customHeight="1">
      <c r="D677" s="85"/>
      <c r="E677" s="85"/>
    </row>
    <row r="678" ht="15.75" customHeight="1">
      <c r="D678" s="85"/>
      <c r="E678" s="85"/>
    </row>
    <row r="679" ht="15.75" customHeight="1">
      <c r="D679" s="85"/>
      <c r="E679" s="85"/>
    </row>
    <row r="680" ht="15.75" customHeight="1">
      <c r="D680" s="85"/>
      <c r="E680" s="85"/>
    </row>
    <row r="681" ht="15.75" customHeight="1">
      <c r="D681" s="85"/>
      <c r="E681" s="85"/>
    </row>
    <row r="682" ht="15.75" customHeight="1">
      <c r="D682" s="85"/>
      <c r="E682" s="85"/>
    </row>
    <row r="683" ht="15.75" customHeight="1">
      <c r="D683" s="85"/>
      <c r="E683" s="85"/>
    </row>
    <row r="684" ht="15.75" customHeight="1">
      <c r="D684" s="85"/>
      <c r="E684" s="85"/>
    </row>
    <row r="685" ht="15.75" customHeight="1">
      <c r="D685" s="85"/>
      <c r="E685" s="85"/>
    </row>
    <row r="686" ht="15.75" customHeight="1">
      <c r="D686" s="85"/>
      <c r="E686" s="85"/>
    </row>
    <row r="687" ht="15.75" customHeight="1">
      <c r="D687" s="85"/>
      <c r="E687" s="85"/>
    </row>
    <row r="688" ht="15.75" customHeight="1">
      <c r="D688" s="85"/>
      <c r="E688" s="85"/>
    </row>
    <row r="689" ht="15.75" customHeight="1">
      <c r="D689" s="85"/>
      <c r="E689" s="85"/>
    </row>
    <row r="690" ht="15.75" customHeight="1">
      <c r="D690" s="85"/>
      <c r="E690" s="85"/>
    </row>
    <row r="691" ht="15.75" customHeight="1">
      <c r="D691" s="85"/>
      <c r="E691" s="85"/>
    </row>
    <row r="692" ht="15.75" customHeight="1">
      <c r="D692" s="85"/>
      <c r="E692" s="85"/>
    </row>
    <row r="693" ht="15.75" customHeight="1">
      <c r="D693" s="85"/>
      <c r="E693" s="85"/>
    </row>
    <row r="694" ht="15.75" customHeight="1">
      <c r="D694" s="85"/>
      <c r="E694" s="85"/>
    </row>
    <row r="695" ht="15.75" customHeight="1">
      <c r="D695" s="85"/>
      <c r="E695" s="85"/>
    </row>
    <row r="696" ht="15.75" customHeight="1">
      <c r="D696" s="85"/>
      <c r="E696" s="85"/>
    </row>
    <row r="697" ht="15.75" customHeight="1">
      <c r="D697" s="85"/>
      <c r="E697" s="85"/>
    </row>
    <row r="698" ht="15.75" customHeight="1">
      <c r="D698" s="85"/>
      <c r="E698" s="85"/>
    </row>
    <row r="699" ht="15.75" customHeight="1">
      <c r="D699" s="85"/>
      <c r="E699" s="85"/>
    </row>
    <row r="700" ht="15.75" customHeight="1">
      <c r="D700" s="85"/>
      <c r="E700" s="85"/>
    </row>
    <row r="701" ht="15.75" customHeight="1">
      <c r="D701" s="85"/>
      <c r="E701" s="85"/>
    </row>
    <row r="702" ht="15.75" customHeight="1">
      <c r="D702" s="85"/>
      <c r="E702" s="85"/>
    </row>
    <row r="703" ht="15.75" customHeight="1">
      <c r="D703" s="85"/>
      <c r="E703" s="85"/>
    </row>
    <row r="704" ht="15.75" customHeight="1">
      <c r="D704" s="85"/>
      <c r="E704" s="85"/>
    </row>
    <row r="705" ht="15.75" customHeight="1">
      <c r="D705" s="85"/>
      <c r="E705" s="85"/>
    </row>
    <row r="706" ht="15.75" customHeight="1">
      <c r="D706" s="85"/>
      <c r="E706" s="85"/>
    </row>
    <row r="707" ht="15.75" customHeight="1">
      <c r="D707" s="85"/>
      <c r="E707" s="85"/>
    </row>
    <row r="708" ht="15.75" customHeight="1">
      <c r="D708" s="85"/>
      <c r="E708" s="85"/>
    </row>
    <row r="709" ht="15.75" customHeight="1">
      <c r="D709" s="85"/>
      <c r="E709" s="85"/>
    </row>
    <row r="710" ht="15.75" customHeight="1">
      <c r="D710" s="85"/>
      <c r="E710" s="85"/>
    </row>
    <row r="711" ht="15.75" customHeight="1">
      <c r="D711" s="85"/>
      <c r="E711" s="85"/>
    </row>
    <row r="712" ht="15.75" customHeight="1">
      <c r="D712" s="85"/>
      <c r="E712" s="85"/>
    </row>
    <row r="713" ht="15.75" customHeight="1">
      <c r="D713" s="85"/>
      <c r="E713" s="85"/>
    </row>
    <row r="714" ht="15.75" customHeight="1">
      <c r="D714" s="85"/>
      <c r="E714" s="85"/>
    </row>
    <row r="715" ht="15.75" customHeight="1">
      <c r="D715" s="85"/>
      <c r="E715" s="85"/>
    </row>
    <row r="716" ht="15.75" customHeight="1">
      <c r="D716" s="85"/>
      <c r="E716" s="85"/>
    </row>
    <row r="717" ht="15.75" customHeight="1">
      <c r="D717" s="85"/>
      <c r="E717" s="85"/>
    </row>
    <row r="718" ht="15.75" customHeight="1">
      <c r="D718" s="85"/>
      <c r="E718" s="85"/>
    </row>
    <row r="719" ht="15.75" customHeight="1">
      <c r="D719" s="85"/>
      <c r="E719" s="85"/>
    </row>
    <row r="720" ht="15.75" customHeight="1">
      <c r="D720" s="85"/>
      <c r="E720" s="85"/>
    </row>
    <row r="721" ht="15.75" customHeight="1">
      <c r="D721" s="85"/>
      <c r="E721" s="85"/>
    </row>
    <row r="722" ht="15.75" customHeight="1">
      <c r="D722" s="85"/>
      <c r="E722" s="85"/>
    </row>
    <row r="723" ht="15.75" customHeight="1">
      <c r="D723" s="85"/>
      <c r="E723" s="85"/>
    </row>
    <row r="724" ht="15.75" customHeight="1">
      <c r="D724" s="85"/>
      <c r="E724" s="85"/>
    </row>
    <row r="725" ht="15.75" customHeight="1">
      <c r="D725" s="85"/>
      <c r="E725" s="85"/>
    </row>
    <row r="726" ht="15.75" customHeight="1">
      <c r="D726" s="85"/>
      <c r="E726" s="85"/>
    </row>
    <row r="727" ht="15.75" customHeight="1">
      <c r="D727" s="85"/>
      <c r="E727" s="85"/>
    </row>
    <row r="728" ht="15.75" customHeight="1">
      <c r="D728" s="85"/>
      <c r="E728" s="85"/>
    </row>
    <row r="729" ht="15.75" customHeight="1">
      <c r="D729" s="85"/>
      <c r="E729" s="85"/>
    </row>
    <row r="730" ht="15.75" customHeight="1">
      <c r="D730" s="85"/>
      <c r="E730" s="85"/>
    </row>
    <row r="731" ht="15.75" customHeight="1">
      <c r="D731" s="85"/>
      <c r="E731" s="85"/>
    </row>
    <row r="732" ht="15.75" customHeight="1">
      <c r="D732" s="85"/>
      <c r="E732" s="85"/>
    </row>
    <row r="733" ht="15.75" customHeight="1">
      <c r="D733" s="85"/>
      <c r="E733" s="85"/>
    </row>
    <row r="734" ht="15.75" customHeight="1">
      <c r="D734" s="85"/>
      <c r="E734" s="85"/>
    </row>
    <row r="735" ht="15.75" customHeight="1">
      <c r="D735" s="85"/>
      <c r="E735" s="85"/>
    </row>
    <row r="736" ht="15.75" customHeight="1">
      <c r="D736" s="85"/>
      <c r="E736" s="85"/>
    </row>
    <row r="737" ht="15.75" customHeight="1">
      <c r="D737" s="85"/>
      <c r="E737" s="85"/>
    </row>
    <row r="738" ht="15.75" customHeight="1">
      <c r="D738" s="85"/>
      <c r="E738" s="85"/>
    </row>
    <row r="739" ht="15.75" customHeight="1">
      <c r="D739" s="85"/>
      <c r="E739" s="85"/>
    </row>
    <row r="740" ht="15.75" customHeight="1">
      <c r="D740" s="85"/>
      <c r="E740" s="85"/>
    </row>
    <row r="741" ht="15.75" customHeight="1">
      <c r="D741" s="85"/>
      <c r="E741" s="85"/>
    </row>
    <row r="742" ht="15.75" customHeight="1">
      <c r="D742" s="85"/>
      <c r="E742" s="85"/>
    </row>
    <row r="743" ht="15.75" customHeight="1">
      <c r="D743" s="85"/>
      <c r="E743" s="85"/>
    </row>
    <row r="744" ht="15.75" customHeight="1">
      <c r="D744" s="85"/>
      <c r="E744" s="85"/>
    </row>
    <row r="745" ht="15.75" customHeight="1">
      <c r="D745" s="85"/>
      <c r="E745" s="85"/>
    </row>
    <row r="746" ht="15.75" customHeight="1">
      <c r="D746" s="85"/>
      <c r="E746" s="85"/>
    </row>
    <row r="747" ht="15.75" customHeight="1">
      <c r="D747" s="85"/>
      <c r="E747" s="85"/>
    </row>
    <row r="748" ht="15.75" customHeight="1">
      <c r="D748" s="85"/>
      <c r="E748" s="85"/>
    </row>
    <row r="749" ht="15.75" customHeight="1">
      <c r="D749" s="85"/>
      <c r="E749" s="85"/>
    </row>
    <row r="750" ht="15.75" customHeight="1">
      <c r="D750" s="85"/>
      <c r="E750" s="85"/>
    </row>
    <row r="751" ht="15.75" customHeight="1">
      <c r="D751" s="85"/>
      <c r="E751" s="85"/>
    </row>
    <row r="752" ht="15.75" customHeight="1">
      <c r="D752" s="85"/>
      <c r="E752" s="85"/>
    </row>
    <row r="753" ht="15.75" customHeight="1">
      <c r="D753" s="85"/>
      <c r="E753" s="85"/>
    </row>
    <row r="754" ht="15.75" customHeight="1">
      <c r="D754" s="85"/>
      <c r="E754" s="85"/>
    </row>
    <row r="755" ht="15.75" customHeight="1">
      <c r="D755" s="85"/>
      <c r="E755" s="85"/>
    </row>
    <row r="756" ht="15.75" customHeight="1">
      <c r="D756" s="85"/>
      <c r="E756" s="85"/>
    </row>
    <row r="757" ht="15.75" customHeight="1">
      <c r="D757" s="85"/>
      <c r="E757" s="85"/>
    </row>
    <row r="758" ht="15.75" customHeight="1">
      <c r="D758" s="85"/>
      <c r="E758" s="85"/>
    </row>
    <row r="759" ht="15.75" customHeight="1">
      <c r="D759" s="85"/>
      <c r="E759" s="85"/>
    </row>
    <row r="760" ht="15.75" customHeight="1">
      <c r="D760" s="85"/>
      <c r="E760" s="85"/>
    </row>
    <row r="761" ht="15.75" customHeight="1">
      <c r="D761" s="85"/>
      <c r="E761" s="85"/>
    </row>
    <row r="762" ht="15.75" customHeight="1">
      <c r="D762" s="85"/>
      <c r="E762" s="85"/>
    </row>
    <row r="763" ht="15.75" customHeight="1">
      <c r="D763" s="85"/>
      <c r="E763" s="85"/>
    </row>
    <row r="764" ht="15.75" customHeight="1">
      <c r="D764" s="85"/>
      <c r="E764" s="85"/>
    </row>
    <row r="765" ht="15.75" customHeight="1">
      <c r="D765" s="85"/>
      <c r="E765" s="85"/>
    </row>
    <row r="766" ht="15.75" customHeight="1">
      <c r="D766" s="85"/>
      <c r="E766" s="85"/>
    </row>
    <row r="767" ht="15.75" customHeight="1">
      <c r="D767" s="85"/>
      <c r="E767" s="85"/>
    </row>
    <row r="768" ht="15.75" customHeight="1">
      <c r="D768" s="85"/>
      <c r="E768" s="85"/>
    </row>
    <row r="769" ht="15.75" customHeight="1">
      <c r="D769" s="85"/>
      <c r="E769" s="85"/>
    </row>
    <row r="770" ht="15.75" customHeight="1">
      <c r="D770" s="85"/>
      <c r="E770" s="85"/>
    </row>
    <row r="771" ht="15.75" customHeight="1">
      <c r="D771" s="85"/>
      <c r="E771" s="85"/>
    </row>
    <row r="772" ht="15.75" customHeight="1">
      <c r="D772" s="85"/>
      <c r="E772" s="85"/>
    </row>
    <row r="773" ht="15.75" customHeight="1">
      <c r="D773" s="85"/>
      <c r="E773" s="85"/>
    </row>
    <row r="774" ht="15.75" customHeight="1">
      <c r="D774" s="85"/>
      <c r="E774" s="85"/>
    </row>
    <row r="775" ht="15.75" customHeight="1">
      <c r="D775" s="85"/>
      <c r="E775" s="85"/>
    </row>
    <row r="776" ht="15.75" customHeight="1">
      <c r="D776" s="85"/>
      <c r="E776" s="85"/>
    </row>
    <row r="777" ht="15.75" customHeight="1">
      <c r="D777" s="85"/>
      <c r="E777" s="85"/>
    </row>
    <row r="778" ht="15.75" customHeight="1">
      <c r="D778" s="85"/>
      <c r="E778" s="85"/>
    </row>
    <row r="779" ht="15.75" customHeight="1">
      <c r="D779" s="85"/>
      <c r="E779" s="85"/>
    </row>
    <row r="780" ht="15.75" customHeight="1">
      <c r="D780" s="85"/>
      <c r="E780" s="85"/>
    </row>
    <row r="781" ht="15.75" customHeight="1">
      <c r="D781" s="85"/>
      <c r="E781" s="85"/>
    </row>
    <row r="782" ht="15.75" customHeight="1">
      <c r="D782" s="85"/>
      <c r="E782" s="85"/>
    </row>
    <row r="783" ht="15.75" customHeight="1">
      <c r="D783" s="85"/>
      <c r="E783" s="85"/>
    </row>
    <row r="784" ht="15.75" customHeight="1">
      <c r="D784" s="85"/>
      <c r="E784" s="85"/>
    </row>
    <row r="785" ht="15.75" customHeight="1">
      <c r="D785" s="85"/>
      <c r="E785" s="85"/>
    </row>
    <row r="786" ht="15.75" customHeight="1">
      <c r="D786" s="85"/>
      <c r="E786" s="85"/>
    </row>
    <row r="787" ht="15.75" customHeight="1">
      <c r="D787" s="85"/>
      <c r="E787" s="85"/>
    </row>
    <row r="788" ht="15.75" customHeight="1">
      <c r="D788" s="85"/>
      <c r="E788" s="85"/>
    </row>
    <row r="789" ht="15.75" customHeight="1">
      <c r="D789" s="85"/>
      <c r="E789" s="85"/>
    </row>
    <row r="790" ht="15.75" customHeight="1">
      <c r="D790" s="85"/>
      <c r="E790" s="85"/>
    </row>
    <row r="791" ht="15.75" customHeight="1">
      <c r="D791" s="85"/>
      <c r="E791" s="85"/>
    </row>
    <row r="792" ht="15.75" customHeight="1">
      <c r="D792" s="85"/>
      <c r="E792" s="85"/>
    </row>
    <row r="793" ht="15.75" customHeight="1">
      <c r="D793" s="85"/>
      <c r="E793" s="85"/>
    </row>
    <row r="794" ht="15.75" customHeight="1">
      <c r="D794" s="85"/>
      <c r="E794" s="85"/>
    </row>
    <row r="795" ht="15.75" customHeight="1">
      <c r="D795" s="85"/>
      <c r="E795" s="85"/>
    </row>
    <row r="796" ht="15.75" customHeight="1">
      <c r="D796" s="85"/>
      <c r="E796" s="85"/>
    </row>
    <row r="797" ht="15.75" customHeight="1">
      <c r="D797" s="85"/>
      <c r="E797" s="85"/>
    </row>
    <row r="798" ht="15.75" customHeight="1">
      <c r="D798" s="85"/>
      <c r="E798" s="85"/>
    </row>
    <row r="799" ht="15.75" customHeight="1">
      <c r="D799" s="85"/>
      <c r="E799" s="85"/>
    </row>
    <row r="800" ht="15.75" customHeight="1">
      <c r="D800" s="85"/>
      <c r="E800" s="85"/>
    </row>
    <row r="801" ht="15.75" customHeight="1">
      <c r="D801" s="85"/>
      <c r="E801" s="85"/>
    </row>
    <row r="802" ht="15.75" customHeight="1">
      <c r="D802" s="85"/>
      <c r="E802" s="85"/>
    </row>
    <row r="803" ht="15.75" customHeight="1">
      <c r="D803" s="85"/>
      <c r="E803" s="85"/>
    </row>
    <row r="804" ht="15.75" customHeight="1">
      <c r="D804" s="85"/>
      <c r="E804" s="85"/>
    </row>
    <row r="805" ht="15.75" customHeight="1">
      <c r="D805" s="85"/>
      <c r="E805" s="85"/>
    </row>
    <row r="806" ht="15.75" customHeight="1">
      <c r="D806" s="85"/>
      <c r="E806" s="85"/>
    </row>
    <row r="807" ht="15.75" customHeight="1">
      <c r="D807" s="85"/>
      <c r="E807" s="85"/>
    </row>
    <row r="808" ht="15.75" customHeight="1">
      <c r="D808" s="85"/>
      <c r="E808" s="85"/>
    </row>
    <row r="809" ht="15.75" customHeight="1">
      <c r="D809" s="85"/>
      <c r="E809" s="85"/>
    </row>
    <row r="810" ht="15.75" customHeight="1">
      <c r="D810" s="85"/>
      <c r="E810" s="85"/>
    </row>
    <row r="811" ht="15.75" customHeight="1">
      <c r="D811" s="85"/>
      <c r="E811" s="85"/>
    </row>
    <row r="812" ht="15.75" customHeight="1">
      <c r="D812" s="85"/>
      <c r="E812" s="85"/>
    </row>
    <row r="813" ht="15.75" customHeight="1">
      <c r="D813" s="85"/>
      <c r="E813" s="85"/>
    </row>
    <row r="814" ht="15.75" customHeight="1">
      <c r="D814" s="85"/>
      <c r="E814" s="85"/>
    </row>
    <row r="815" ht="15.75" customHeight="1">
      <c r="D815" s="85"/>
      <c r="E815" s="85"/>
    </row>
    <row r="816" ht="15.75" customHeight="1">
      <c r="D816" s="85"/>
      <c r="E816" s="85"/>
    </row>
    <row r="817" ht="15.75" customHeight="1">
      <c r="D817" s="85"/>
      <c r="E817" s="85"/>
    </row>
    <row r="818" ht="15.75" customHeight="1">
      <c r="D818" s="85"/>
      <c r="E818" s="85"/>
    </row>
    <row r="819" ht="15.75" customHeight="1">
      <c r="D819" s="85"/>
      <c r="E819" s="85"/>
    </row>
    <row r="820" ht="15.75" customHeight="1">
      <c r="D820" s="85"/>
      <c r="E820" s="85"/>
    </row>
    <row r="821" ht="15.75" customHeight="1">
      <c r="D821" s="85"/>
      <c r="E821" s="85"/>
    </row>
    <row r="822" ht="15.75" customHeight="1">
      <c r="D822" s="85"/>
      <c r="E822" s="85"/>
    </row>
    <row r="823" ht="15.75" customHeight="1">
      <c r="D823" s="85"/>
      <c r="E823" s="85"/>
    </row>
    <row r="824" ht="15.75" customHeight="1">
      <c r="D824" s="85"/>
      <c r="E824" s="85"/>
    </row>
    <row r="825" ht="15.75" customHeight="1">
      <c r="D825" s="85"/>
      <c r="E825" s="85"/>
    </row>
    <row r="826" ht="15.75" customHeight="1">
      <c r="D826" s="85"/>
      <c r="E826" s="85"/>
    </row>
    <row r="827" ht="15.75" customHeight="1">
      <c r="D827" s="85"/>
      <c r="E827" s="85"/>
    </row>
    <row r="828" ht="15.75" customHeight="1">
      <c r="D828" s="85"/>
      <c r="E828" s="85"/>
    </row>
    <row r="829" ht="15.75" customHeight="1">
      <c r="D829" s="85"/>
      <c r="E829" s="85"/>
    </row>
    <row r="830" ht="15.75" customHeight="1">
      <c r="D830" s="85"/>
      <c r="E830" s="85"/>
    </row>
    <row r="831" ht="15.75" customHeight="1">
      <c r="D831" s="85"/>
      <c r="E831" s="85"/>
    </row>
    <row r="832" ht="15.75" customHeight="1">
      <c r="D832" s="85"/>
      <c r="E832" s="85"/>
    </row>
    <row r="833" ht="15.75" customHeight="1">
      <c r="D833" s="85"/>
      <c r="E833" s="85"/>
    </row>
    <row r="834" ht="15.75" customHeight="1">
      <c r="D834" s="85"/>
      <c r="E834" s="85"/>
    </row>
    <row r="835" ht="15.75" customHeight="1">
      <c r="D835" s="85"/>
      <c r="E835" s="85"/>
    </row>
    <row r="836" ht="15.75" customHeight="1">
      <c r="D836" s="85"/>
      <c r="E836" s="85"/>
    </row>
    <row r="837" ht="15.75" customHeight="1">
      <c r="D837" s="85"/>
      <c r="E837" s="85"/>
    </row>
    <row r="838" ht="15.75" customHeight="1">
      <c r="D838" s="85"/>
      <c r="E838" s="85"/>
    </row>
    <row r="839" ht="15.75" customHeight="1">
      <c r="D839" s="85"/>
      <c r="E839" s="85"/>
    </row>
    <row r="840" ht="15.75" customHeight="1">
      <c r="D840" s="85"/>
      <c r="E840" s="85"/>
    </row>
    <row r="841" ht="15.75" customHeight="1">
      <c r="D841" s="85"/>
      <c r="E841" s="85"/>
    </row>
    <row r="842" ht="15.75" customHeight="1">
      <c r="D842" s="85"/>
      <c r="E842" s="85"/>
    </row>
    <row r="843" ht="15.75" customHeight="1">
      <c r="D843" s="85"/>
      <c r="E843" s="85"/>
    </row>
    <row r="844" ht="15.75" customHeight="1">
      <c r="D844" s="85"/>
      <c r="E844" s="85"/>
    </row>
    <row r="845" ht="15.75" customHeight="1">
      <c r="D845" s="85"/>
      <c r="E845" s="85"/>
    </row>
    <row r="846" ht="15.75" customHeight="1">
      <c r="D846" s="85"/>
      <c r="E846" s="85"/>
    </row>
    <row r="847" ht="15.75" customHeight="1">
      <c r="D847" s="85"/>
      <c r="E847" s="85"/>
    </row>
    <row r="848" ht="15.75" customHeight="1">
      <c r="D848" s="85"/>
      <c r="E848" s="85"/>
    </row>
    <row r="849" ht="15.75" customHeight="1">
      <c r="D849" s="85"/>
      <c r="E849" s="85"/>
    </row>
    <row r="850" ht="15.75" customHeight="1">
      <c r="D850" s="85"/>
      <c r="E850" s="85"/>
    </row>
    <row r="851" ht="15.75" customHeight="1">
      <c r="D851" s="85"/>
      <c r="E851" s="85"/>
    </row>
    <row r="852" ht="15.75" customHeight="1">
      <c r="D852" s="85"/>
      <c r="E852" s="85"/>
    </row>
    <row r="853" ht="15.75" customHeight="1">
      <c r="D853" s="85"/>
      <c r="E853" s="85"/>
    </row>
    <row r="854" ht="15.75" customHeight="1">
      <c r="D854" s="85"/>
      <c r="E854" s="85"/>
    </row>
    <row r="855" ht="15.75" customHeight="1">
      <c r="D855" s="85"/>
      <c r="E855" s="85"/>
    </row>
    <row r="856" ht="15.75" customHeight="1">
      <c r="D856" s="85"/>
      <c r="E856" s="85"/>
    </row>
    <row r="857" ht="15.75" customHeight="1">
      <c r="D857" s="85"/>
      <c r="E857" s="85"/>
    </row>
    <row r="858" ht="15.75" customHeight="1">
      <c r="D858" s="85"/>
      <c r="E858" s="85"/>
    </row>
    <row r="859" ht="15.75" customHeight="1">
      <c r="D859" s="85"/>
      <c r="E859" s="85"/>
    </row>
    <row r="860" ht="15.75" customHeight="1">
      <c r="D860" s="85"/>
      <c r="E860" s="85"/>
    </row>
    <row r="861" ht="15.75" customHeight="1">
      <c r="D861" s="85"/>
      <c r="E861" s="85"/>
    </row>
    <row r="862" ht="15.75" customHeight="1">
      <c r="D862" s="85"/>
      <c r="E862" s="85"/>
    </row>
    <row r="863" ht="15.75" customHeight="1">
      <c r="D863" s="85"/>
      <c r="E863" s="85"/>
    </row>
    <row r="864" ht="15.75" customHeight="1">
      <c r="D864" s="85"/>
      <c r="E864" s="85"/>
    </row>
    <row r="865" ht="15.75" customHeight="1">
      <c r="D865" s="85"/>
      <c r="E865" s="85"/>
    </row>
    <row r="866" ht="15.75" customHeight="1">
      <c r="D866" s="85"/>
      <c r="E866" s="85"/>
    </row>
    <row r="867" ht="15.75" customHeight="1">
      <c r="D867" s="85"/>
      <c r="E867" s="85"/>
    </row>
    <row r="868" ht="15.75" customHeight="1">
      <c r="D868" s="85"/>
      <c r="E868" s="85"/>
    </row>
    <row r="869" ht="15.75" customHeight="1">
      <c r="D869" s="85"/>
      <c r="E869" s="85"/>
    </row>
    <row r="870" ht="15.75" customHeight="1">
      <c r="D870" s="85"/>
      <c r="E870" s="85"/>
    </row>
    <row r="871" ht="15.75" customHeight="1">
      <c r="D871" s="85"/>
      <c r="E871" s="85"/>
    </row>
    <row r="872" ht="15.75" customHeight="1">
      <c r="D872" s="85"/>
      <c r="E872" s="85"/>
    </row>
    <row r="873" ht="15.75" customHeight="1">
      <c r="D873" s="85"/>
      <c r="E873" s="85"/>
    </row>
    <row r="874" ht="15.75" customHeight="1">
      <c r="D874" s="85"/>
      <c r="E874" s="85"/>
    </row>
    <row r="875" ht="15.75" customHeight="1">
      <c r="D875" s="85"/>
      <c r="E875" s="85"/>
    </row>
    <row r="876" ht="15.75" customHeight="1">
      <c r="D876" s="85"/>
      <c r="E876" s="85"/>
    </row>
    <row r="877" ht="15.75" customHeight="1">
      <c r="D877" s="85"/>
      <c r="E877" s="85"/>
    </row>
    <row r="878" ht="15.75" customHeight="1">
      <c r="D878" s="85"/>
      <c r="E878" s="85"/>
    </row>
    <row r="879" ht="15.75" customHeight="1">
      <c r="D879" s="85"/>
      <c r="E879" s="85"/>
    </row>
    <row r="880" ht="15.75" customHeight="1">
      <c r="D880" s="85"/>
      <c r="E880" s="85"/>
    </row>
    <row r="881" ht="15.75" customHeight="1">
      <c r="D881" s="85"/>
      <c r="E881" s="85"/>
    </row>
    <row r="882" ht="15.75" customHeight="1">
      <c r="D882" s="85"/>
      <c r="E882" s="85"/>
    </row>
    <row r="883" ht="15.75" customHeight="1">
      <c r="D883" s="85"/>
      <c r="E883" s="85"/>
    </row>
    <row r="884" ht="15.75" customHeight="1">
      <c r="D884" s="85"/>
      <c r="E884" s="85"/>
    </row>
    <row r="885" ht="15.75" customHeight="1">
      <c r="D885" s="85"/>
      <c r="E885" s="85"/>
    </row>
    <row r="886" ht="15.75" customHeight="1">
      <c r="D886" s="85"/>
      <c r="E886" s="85"/>
    </row>
    <row r="887" ht="15.75" customHeight="1">
      <c r="D887" s="85"/>
      <c r="E887" s="85"/>
    </row>
    <row r="888" ht="15.75" customHeight="1">
      <c r="D888" s="85"/>
      <c r="E888" s="85"/>
    </row>
    <row r="889" ht="15.75" customHeight="1">
      <c r="D889" s="85"/>
      <c r="E889" s="85"/>
    </row>
    <row r="890" ht="15.75" customHeight="1">
      <c r="D890" s="85"/>
      <c r="E890" s="85"/>
    </row>
    <row r="891" ht="15.75" customHeight="1">
      <c r="D891" s="85"/>
      <c r="E891" s="85"/>
    </row>
    <row r="892" ht="15.75" customHeight="1">
      <c r="D892" s="85"/>
      <c r="E892" s="85"/>
    </row>
    <row r="893" ht="15.75" customHeight="1">
      <c r="D893" s="85"/>
      <c r="E893" s="85"/>
    </row>
    <row r="894" ht="15.75" customHeight="1">
      <c r="D894" s="85"/>
      <c r="E894" s="85"/>
    </row>
    <row r="895" ht="15.75" customHeight="1">
      <c r="D895" s="85"/>
      <c r="E895" s="85"/>
    </row>
    <row r="896" ht="15.75" customHeight="1">
      <c r="D896" s="85"/>
      <c r="E896" s="85"/>
    </row>
    <row r="897" ht="15.75" customHeight="1">
      <c r="D897" s="85"/>
      <c r="E897" s="85"/>
    </row>
    <row r="898" ht="15.75" customHeight="1">
      <c r="D898" s="85"/>
      <c r="E898" s="85"/>
    </row>
    <row r="899" ht="15.75" customHeight="1">
      <c r="D899" s="85"/>
      <c r="E899" s="85"/>
    </row>
    <row r="900" ht="15.75" customHeight="1">
      <c r="D900" s="85"/>
      <c r="E900" s="85"/>
    </row>
    <row r="901" ht="15.75" customHeight="1">
      <c r="D901" s="85"/>
      <c r="E901" s="85"/>
    </row>
    <row r="902" ht="15.75" customHeight="1">
      <c r="D902" s="85"/>
      <c r="E902" s="85"/>
    </row>
    <row r="903" ht="15.75" customHeight="1">
      <c r="D903" s="85"/>
      <c r="E903" s="85"/>
    </row>
    <row r="904" ht="15.75" customHeight="1">
      <c r="D904" s="85"/>
      <c r="E904" s="85"/>
    </row>
    <row r="905" ht="15.75" customHeight="1">
      <c r="D905" s="85"/>
      <c r="E905" s="85"/>
    </row>
    <row r="906" ht="15.75" customHeight="1">
      <c r="D906" s="85"/>
      <c r="E906" s="85"/>
    </row>
    <row r="907" ht="15.75" customHeight="1">
      <c r="D907" s="85"/>
      <c r="E907" s="85"/>
    </row>
    <row r="908" ht="15.75" customHeight="1">
      <c r="D908" s="85"/>
      <c r="E908" s="85"/>
    </row>
    <row r="909" ht="15.75" customHeight="1">
      <c r="D909" s="85"/>
      <c r="E909" s="85"/>
    </row>
    <row r="910" ht="15.75" customHeight="1">
      <c r="D910" s="85"/>
      <c r="E910" s="85"/>
    </row>
    <row r="911" ht="15.75" customHeight="1">
      <c r="D911" s="85"/>
      <c r="E911" s="85"/>
    </row>
    <row r="912" ht="15.75" customHeight="1">
      <c r="D912" s="85"/>
      <c r="E912" s="85"/>
    </row>
    <row r="913" ht="15.75" customHeight="1">
      <c r="D913" s="85"/>
      <c r="E913" s="85"/>
    </row>
    <row r="914" ht="15.75" customHeight="1">
      <c r="D914" s="85"/>
      <c r="E914" s="85"/>
    </row>
    <row r="915" ht="15.75" customHeight="1">
      <c r="D915" s="85"/>
      <c r="E915" s="85"/>
    </row>
    <row r="916" ht="15.75" customHeight="1">
      <c r="D916" s="85"/>
      <c r="E916" s="85"/>
    </row>
    <row r="917" ht="15.75" customHeight="1">
      <c r="D917" s="85"/>
      <c r="E917" s="85"/>
    </row>
    <row r="918" ht="15.75" customHeight="1">
      <c r="D918" s="85"/>
      <c r="E918" s="85"/>
    </row>
    <row r="919" ht="15.75" customHeight="1">
      <c r="D919" s="85"/>
      <c r="E919" s="85"/>
    </row>
    <row r="920" ht="15.75" customHeight="1">
      <c r="D920" s="85"/>
      <c r="E920" s="85"/>
    </row>
    <row r="921" ht="15.75" customHeight="1">
      <c r="D921" s="85"/>
      <c r="E921" s="85"/>
    </row>
    <row r="922" ht="15.75" customHeight="1">
      <c r="D922" s="85"/>
      <c r="E922" s="85"/>
    </row>
    <row r="923" ht="15.75" customHeight="1">
      <c r="D923" s="85"/>
      <c r="E923" s="85"/>
    </row>
    <row r="924" ht="15.75" customHeight="1">
      <c r="D924" s="85"/>
      <c r="E924" s="85"/>
    </row>
    <row r="925" ht="15.75" customHeight="1">
      <c r="D925" s="85"/>
      <c r="E925" s="85"/>
    </row>
    <row r="926" ht="15.75" customHeight="1">
      <c r="D926" s="85"/>
      <c r="E926" s="85"/>
    </row>
    <row r="927" ht="15.75" customHeight="1">
      <c r="D927" s="85"/>
      <c r="E927" s="85"/>
    </row>
    <row r="928" ht="15.75" customHeight="1">
      <c r="D928" s="85"/>
      <c r="E928" s="85"/>
    </row>
    <row r="929" ht="15.75" customHeight="1">
      <c r="D929" s="85"/>
      <c r="E929" s="85"/>
    </row>
    <row r="930" ht="15.75" customHeight="1">
      <c r="D930" s="85"/>
      <c r="E930" s="85"/>
    </row>
    <row r="931" ht="15.75" customHeight="1">
      <c r="D931" s="85"/>
      <c r="E931" s="85"/>
    </row>
    <row r="932" ht="15.75" customHeight="1">
      <c r="D932" s="85"/>
      <c r="E932" s="85"/>
    </row>
    <row r="933" ht="15.75" customHeight="1">
      <c r="D933" s="85"/>
      <c r="E933" s="85"/>
    </row>
    <row r="934" ht="15.75" customHeight="1">
      <c r="D934" s="85"/>
      <c r="E934" s="85"/>
    </row>
    <row r="935" ht="15.75" customHeight="1">
      <c r="D935" s="85"/>
      <c r="E935" s="85"/>
    </row>
    <row r="936" ht="15.75" customHeight="1">
      <c r="D936" s="85"/>
      <c r="E936" s="85"/>
    </row>
    <row r="937" ht="15.75" customHeight="1">
      <c r="D937" s="85"/>
      <c r="E937" s="85"/>
    </row>
    <row r="938" ht="15.75" customHeight="1">
      <c r="D938" s="85"/>
      <c r="E938" s="85"/>
    </row>
    <row r="939" ht="15.75" customHeight="1">
      <c r="D939" s="85"/>
      <c r="E939" s="85"/>
    </row>
    <row r="940" ht="15.75" customHeight="1">
      <c r="D940" s="85"/>
      <c r="E940" s="85"/>
    </row>
    <row r="941" ht="15.75" customHeight="1">
      <c r="D941" s="85"/>
      <c r="E941" s="85"/>
    </row>
    <row r="942" ht="15.75" customHeight="1">
      <c r="D942" s="85"/>
      <c r="E942" s="85"/>
    </row>
    <row r="943" ht="15.75" customHeight="1">
      <c r="D943" s="85"/>
      <c r="E943" s="85"/>
    </row>
    <row r="944" ht="15.75" customHeight="1">
      <c r="D944" s="85"/>
      <c r="E944" s="85"/>
    </row>
    <row r="945" ht="15.75" customHeight="1">
      <c r="D945" s="85"/>
      <c r="E945" s="85"/>
    </row>
    <row r="946" ht="15.75" customHeight="1">
      <c r="D946" s="85"/>
      <c r="E946" s="85"/>
    </row>
    <row r="947" ht="15.75" customHeight="1">
      <c r="D947" s="85"/>
      <c r="E947" s="85"/>
    </row>
    <row r="948" ht="15.75" customHeight="1">
      <c r="D948" s="85"/>
      <c r="E948" s="85"/>
    </row>
    <row r="949" ht="15.75" customHeight="1">
      <c r="D949" s="85"/>
      <c r="E949" s="85"/>
    </row>
    <row r="950" ht="15.75" customHeight="1">
      <c r="D950" s="85"/>
      <c r="E950" s="85"/>
    </row>
    <row r="951" ht="15.75" customHeight="1">
      <c r="D951" s="85"/>
      <c r="E951" s="85"/>
    </row>
    <row r="952" ht="15.75" customHeight="1">
      <c r="D952" s="85"/>
      <c r="E952" s="85"/>
    </row>
    <row r="953" ht="15.75" customHeight="1">
      <c r="D953" s="85"/>
      <c r="E953" s="85"/>
    </row>
    <row r="954" ht="15.75" customHeight="1">
      <c r="D954" s="85"/>
      <c r="E954" s="85"/>
    </row>
    <row r="955" ht="15.75" customHeight="1">
      <c r="D955" s="85"/>
      <c r="E955" s="85"/>
    </row>
    <row r="956" ht="15.75" customHeight="1">
      <c r="D956" s="85"/>
      <c r="E956" s="85"/>
    </row>
    <row r="957" ht="15.75" customHeight="1">
      <c r="D957" s="85"/>
      <c r="E957" s="85"/>
    </row>
    <row r="958" ht="15.75" customHeight="1">
      <c r="D958" s="85"/>
      <c r="E958" s="85"/>
    </row>
    <row r="959" ht="15.75" customHeight="1">
      <c r="D959" s="85"/>
      <c r="E959" s="85"/>
    </row>
    <row r="960" ht="15.75" customHeight="1">
      <c r="D960" s="85"/>
      <c r="E960" s="85"/>
    </row>
    <row r="961" ht="15.75" customHeight="1">
      <c r="D961" s="85"/>
      <c r="E961" s="85"/>
    </row>
    <row r="962" ht="15.75" customHeight="1">
      <c r="D962" s="85"/>
      <c r="E962" s="85"/>
    </row>
    <row r="963" ht="15.75" customHeight="1">
      <c r="D963" s="85"/>
      <c r="E963" s="85"/>
    </row>
    <row r="964" ht="15.75" customHeight="1">
      <c r="D964" s="85"/>
      <c r="E964" s="85"/>
    </row>
    <row r="965" ht="15.75" customHeight="1">
      <c r="D965" s="85"/>
      <c r="E965" s="85"/>
    </row>
    <row r="966" ht="15.75" customHeight="1">
      <c r="D966" s="85"/>
      <c r="E966" s="85"/>
    </row>
    <row r="967" ht="15.75" customHeight="1">
      <c r="D967" s="85"/>
      <c r="E967" s="85"/>
    </row>
    <row r="968" ht="15.75" customHeight="1">
      <c r="D968" s="85"/>
      <c r="E968" s="85"/>
    </row>
    <row r="969" ht="15.75" customHeight="1">
      <c r="D969" s="85"/>
      <c r="E969" s="85"/>
    </row>
    <row r="970" ht="15.75" customHeight="1">
      <c r="D970" s="85"/>
      <c r="E970" s="85"/>
    </row>
    <row r="971" ht="15.75" customHeight="1">
      <c r="D971" s="85"/>
      <c r="E971" s="85"/>
    </row>
    <row r="972" ht="15.75" customHeight="1">
      <c r="D972" s="85"/>
      <c r="E972" s="85"/>
    </row>
    <row r="973" ht="15.75" customHeight="1">
      <c r="D973" s="85"/>
      <c r="E973" s="85"/>
    </row>
    <row r="974" ht="15.75" customHeight="1">
      <c r="D974" s="85"/>
      <c r="E974" s="85"/>
    </row>
    <row r="975" ht="15.75" customHeight="1">
      <c r="D975" s="85"/>
      <c r="E975" s="85"/>
    </row>
    <row r="976" ht="15.75" customHeight="1">
      <c r="D976" s="85"/>
      <c r="E976" s="85"/>
    </row>
    <row r="977" ht="15.75" customHeight="1">
      <c r="D977" s="85"/>
      <c r="E977" s="85"/>
    </row>
    <row r="978" ht="15.75" customHeight="1">
      <c r="D978" s="85"/>
      <c r="E978" s="85"/>
    </row>
    <row r="979" ht="15.75" customHeight="1">
      <c r="D979" s="85"/>
      <c r="E979" s="85"/>
    </row>
    <row r="980" ht="15.75" customHeight="1">
      <c r="D980" s="85"/>
      <c r="E980" s="85"/>
    </row>
    <row r="981" ht="15.75" customHeight="1">
      <c r="D981" s="85"/>
      <c r="E981" s="85"/>
    </row>
    <row r="982" ht="15.75" customHeight="1">
      <c r="D982" s="85"/>
      <c r="E982" s="85"/>
    </row>
    <row r="983" ht="15.75" customHeight="1">
      <c r="D983" s="85"/>
      <c r="E983" s="85"/>
    </row>
    <row r="984" ht="15.75" customHeight="1">
      <c r="D984" s="85"/>
      <c r="E984" s="85"/>
    </row>
    <row r="985" ht="15.75" customHeight="1">
      <c r="D985" s="85"/>
      <c r="E985" s="85"/>
    </row>
    <row r="986" ht="15.75" customHeight="1">
      <c r="D986" s="85"/>
      <c r="E986" s="85"/>
    </row>
    <row r="987" ht="15.75" customHeight="1">
      <c r="D987" s="85"/>
      <c r="E987" s="85"/>
    </row>
    <row r="988" ht="15.75" customHeight="1">
      <c r="D988" s="85"/>
      <c r="E988" s="85"/>
    </row>
    <row r="989" ht="15.75" customHeight="1">
      <c r="D989" s="85"/>
      <c r="E989" s="85"/>
    </row>
    <row r="990" ht="15.75" customHeight="1">
      <c r="D990" s="85"/>
      <c r="E990" s="85"/>
    </row>
    <row r="991" ht="15.75" customHeight="1">
      <c r="D991" s="85"/>
      <c r="E991" s="85"/>
    </row>
    <row r="992" ht="15.75" customHeight="1">
      <c r="D992" s="85"/>
      <c r="E992" s="85"/>
    </row>
    <row r="993" ht="15.75" customHeight="1">
      <c r="D993" s="85"/>
      <c r="E993" s="85"/>
    </row>
    <row r="994" ht="15.75" customHeight="1">
      <c r="D994" s="85"/>
      <c r="E994" s="85"/>
    </row>
    <row r="995" ht="15.75" customHeight="1">
      <c r="D995" s="85"/>
      <c r="E995" s="85"/>
    </row>
    <row r="996" ht="15.75" customHeight="1">
      <c r="D996" s="85"/>
      <c r="E996" s="85"/>
    </row>
    <row r="997" ht="15.75" customHeight="1">
      <c r="D997" s="85"/>
      <c r="E997" s="85"/>
    </row>
    <row r="998" ht="15.75" customHeight="1">
      <c r="D998" s="85"/>
      <c r="E998" s="85"/>
    </row>
    <row r="999" ht="15.75" customHeight="1">
      <c r="D999" s="85"/>
      <c r="E999" s="85"/>
    </row>
    <row r="1000" ht="15.75" customHeight="1">
      <c r="D1000" s="85"/>
      <c r="E1000" s="85"/>
    </row>
  </sheetData>
  <mergeCells count="5">
    <mergeCell ref="A1:I1"/>
    <mergeCell ref="A2:I2"/>
    <mergeCell ref="A3:I3"/>
    <mergeCell ref="F46:F47"/>
    <mergeCell ref="G47:I47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10.0"/>
    <col customWidth="1" min="4" max="4" width="52.0"/>
    <col customWidth="1" min="5" max="5" width="8.86"/>
    <col customWidth="1" min="6" max="6" width="9.86"/>
    <col customWidth="1" min="7" max="26" width="10.71"/>
  </cols>
  <sheetData>
    <row r="1" ht="15.0" customHeight="1">
      <c r="A1" s="19" t="s">
        <v>34</v>
      </c>
    </row>
    <row r="2" ht="5.25" customHeight="1">
      <c r="A2" s="19"/>
      <c r="B2" s="19"/>
      <c r="C2" s="19"/>
      <c r="D2" s="19"/>
      <c r="E2" s="19"/>
      <c r="F2" s="19"/>
    </row>
    <row r="3" ht="15.0" customHeight="1">
      <c r="A3" s="86" t="s">
        <v>95</v>
      </c>
    </row>
    <row r="4" ht="12.0" customHeight="1">
      <c r="A4" s="87" t="s">
        <v>96</v>
      </c>
    </row>
    <row r="5" ht="5.25" customHeight="1">
      <c r="A5" s="5"/>
      <c r="B5" s="88"/>
      <c r="C5" s="88"/>
      <c r="D5" s="89"/>
      <c r="E5" s="89"/>
      <c r="F5" s="89"/>
    </row>
    <row r="6" ht="12.75" customHeight="1">
      <c r="A6" s="90" t="s">
        <v>97</v>
      </c>
      <c r="B6" s="91" t="s">
        <v>98</v>
      </c>
      <c r="C6" s="91" t="s">
        <v>37</v>
      </c>
      <c r="D6" s="92" t="s">
        <v>99</v>
      </c>
      <c r="E6" s="93" t="s">
        <v>100</v>
      </c>
      <c r="F6" s="94"/>
    </row>
    <row r="7" ht="12.0" customHeight="1">
      <c r="A7" s="76"/>
      <c r="B7" s="95"/>
      <c r="C7" s="95"/>
      <c r="D7" s="95"/>
      <c r="E7" s="96" t="s">
        <v>101</v>
      </c>
      <c r="F7" s="96" t="s">
        <v>102</v>
      </c>
    </row>
    <row r="8" ht="15.0" customHeight="1">
      <c r="A8" s="97" t="s">
        <v>103</v>
      </c>
      <c r="B8" s="98">
        <v>6157267.0</v>
      </c>
      <c r="C8" s="99">
        <v>45345.0</v>
      </c>
      <c r="D8" s="100" t="s">
        <v>18</v>
      </c>
      <c r="E8" s="101">
        <v>4890.9</v>
      </c>
      <c r="F8" s="102">
        <f>SUM(E8:E10)</f>
        <v>6542.5</v>
      </c>
    </row>
    <row r="9">
      <c r="A9" s="103"/>
      <c r="B9" s="104">
        <v>914654.0</v>
      </c>
      <c r="C9" s="105">
        <v>45345.0</v>
      </c>
      <c r="D9" s="106" t="s">
        <v>19</v>
      </c>
      <c r="E9" s="107">
        <v>1508.6</v>
      </c>
      <c r="F9" s="108"/>
    </row>
    <row r="10">
      <c r="A10" s="76"/>
      <c r="B10" s="109">
        <v>7129462.0</v>
      </c>
      <c r="C10" s="110">
        <v>45345.0</v>
      </c>
      <c r="D10" s="111" t="s">
        <v>104</v>
      </c>
      <c r="E10" s="112">
        <v>143.0</v>
      </c>
      <c r="F10" s="79"/>
    </row>
    <row r="11" ht="18.75" customHeight="1">
      <c r="A11" s="97" t="s">
        <v>105</v>
      </c>
      <c r="B11" s="98">
        <v>278.0</v>
      </c>
      <c r="C11" s="99">
        <v>45324.0</v>
      </c>
      <c r="D11" s="100" t="s">
        <v>106</v>
      </c>
      <c r="E11" s="101">
        <v>3090.0</v>
      </c>
      <c r="F11" s="102">
        <f>SUM(E11:E12)</f>
        <v>3120</v>
      </c>
    </row>
    <row r="12" ht="21.0" customHeight="1">
      <c r="A12" s="103"/>
      <c r="B12" s="104">
        <v>279.0</v>
      </c>
      <c r="C12" s="105">
        <v>45325.0</v>
      </c>
      <c r="D12" s="113" t="s">
        <v>107</v>
      </c>
      <c r="E12" s="107">
        <v>30.0</v>
      </c>
      <c r="F12" s="108"/>
    </row>
    <row r="13" ht="15.75" customHeight="1">
      <c r="A13" s="114" t="s">
        <v>108</v>
      </c>
      <c r="B13" s="98">
        <v>8.0</v>
      </c>
      <c r="C13" s="99">
        <v>45324.0</v>
      </c>
      <c r="D13" s="100" t="s">
        <v>109</v>
      </c>
      <c r="E13" s="101">
        <v>2400.0</v>
      </c>
      <c r="F13" s="102">
        <f>SUM(E13:E15)</f>
        <v>2745.9</v>
      </c>
    </row>
    <row r="14" ht="17.25" customHeight="1">
      <c r="A14" s="115"/>
      <c r="B14" s="116">
        <v>79388.0</v>
      </c>
      <c r="C14" s="117">
        <v>45325.0</v>
      </c>
      <c r="D14" s="113" t="s">
        <v>110</v>
      </c>
      <c r="E14" s="107">
        <v>335.9</v>
      </c>
      <c r="F14" s="108"/>
    </row>
    <row r="15" ht="20.25" customHeight="1">
      <c r="A15" s="95"/>
      <c r="B15" s="109">
        <v>281.0</v>
      </c>
      <c r="C15" s="110">
        <v>45327.0</v>
      </c>
      <c r="D15" s="118" t="s">
        <v>111</v>
      </c>
      <c r="E15" s="112">
        <v>10.0</v>
      </c>
      <c r="F15" s="79"/>
    </row>
    <row r="16" ht="18.0" customHeight="1">
      <c r="A16" s="114" t="s">
        <v>112</v>
      </c>
      <c r="B16" s="98">
        <v>9029551.0</v>
      </c>
      <c r="C16" s="99">
        <v>45324.0</v>
      </c>
      <c r="D16" s="100" t="s">
        <v>113</v>
      </c>
      <c r="E16" s="101">
        <v>6600.0</v>
      </c>
      <c r="F16" s="102">
        <f>SUM(E16:E18)</f>
        <v>6675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9.5" customHeight="1">
      <c r="A17" s="115"/>
      <c r="B17" s="104" t="s">
        <v>114</v>
      </c>
      <c r="C17" s="105"/>
      <c r="D17" s="113" t="s">
        <v>115</v>
      </c>
      <c r="E17" s="107">
        <v>64.0</v>
      </c>
      <c r="F17" s="108"/>
    </row>
    <row r="18">
      <c r="A18" s="115"/>
      <c r="B18" s="116">
        <v>2.38148158E8</v>
      </c>
      <c r="C18" s="117">
        <v>45341.0</v>
      </c>
      <c r="D18" s="113" t="s">
        <v>116</v>
      </c>
      <c r="E18" s="107">
        <v>11.0</v>
      </c>
      <c r="F18" s="108"/>
    </row>
    <row r="19" ht="21.75" customHeight="1">
      <c r="A19" s="114" t="s">
        <v>117</v>
      </c>
      <c r="B19" s="119">
        <v>6259.0</v>
      </c>
      <c r="C19" s="120">
        <v>45324.0</v>
      </c>
      <c r="D19" s="121" t="s">
        <v>118</v>
      </c>
      <c r="E19" s="122">
        <v>600.0</v>
      </c>
      <c r="F19" s="102">
        <f>SUM(E19)</f>
        <v>600</v>
      </c>
    </row>
    <row r="20" ht="15.0" customHeight="1">
      <c r="A20" s="97" t="s">
        <v>119</v>
      </c>
      <c r="B20" s="98">
        <v>6414.0</v>
      </c>
      <c r="C20" s="99">
        <v>45327.0</v>
      </c>
      <c r="D20" s="100" t="s">
        <v>120</v>
      </c>
      <c r="E20" s="101">
        <v>1252.8</v>
      </c>
      <c r="F20" s="102">
        <f>SUM(E20:E21)</f>
        <v>1952.8</v>
      </c>
    </row>
    <row r="21" ht="20.25" customHeight="1">
      <c r="A21" s="76"/>
      <c r="B21" s="123">
        <v>375.0</v>
      </c>
      <c r="C21" s="124">
        <v>45345.0</v>
      </c>
      <c r="D21" s="118" t="s">
        <v>121</v>
      </c>
      <c r="E21" s="112">
        <v>700.0</v>
      </c>
      <c r="F21" s="79"/>
    </row>
    <row r="22" ht="22.5" customHeight="1">
      <c r="A22" s="125" t="s">
        <v>122</v>
      </c>
      <c r="B22" s="126">
        <v>280.0</v>
      </c>
      <c r="C22" s="127">
        <v>45327.0</v>
      </c>
      <c r="D22" s="128" t="s">
        <v>123</v>
      </c>
      <c r="E22" s="129">
        <v>120.0</v>
      </c>
      <c r="F22" s="130">
        <f>SUM(E22:E37)</f>
        <v>1672.39</v>
      </c>
    </row>
    <row r="23" ht="22.5" customHeight="1">
      <c r="A23" s="115"/>
      <c r="B23" s="104">
        <v>283.0</v>
      </c>
      <c r="C23" s="105">
        <v>45331.0</v>
      </c>
      <c r="D23" s="113" t="s">
        <v>124</v>
      </c>
      <c r="E23" s="107">
        <v>170.0</v>
      </c>
      <c r="F23" s="115"/>
    </row>
    <row r="24" ht="22.5" customHeight="1">
      <c r="A24" s="115"/>
      <c r="B24" s="104">
        <v>284.0</v>
      </c>
      <c r="C24" s="105">
        <v>45332.0</v>
      </c>
      <c r="D24" s="113" t="s">
        <v>125</v>
      </c>
      <c r="E24" s="107">
        <v>150.0</v>
      </c>
      <c r="F24" s="115"/>
    </row>
    <row r="25" ht="18.75" customHeight="1">
      <c r="A25" s="115"/>
      <c r="B25" s="104">
        <v>285.0</v>
      </c>
      <c r="C25" s="105">
        <v>45342.0</v>
      </c>
      <c r="D25" s="113" t="s">
        <v>126</v>
      </c>
      <c r="E25" s="107">
        <v>90.0</v>
      </c>
      <c r="F25" s="115"/>
    </row>
    <row r="26" ht="21.75" customHeight="1">
      <c r="A26" s="115"/>
      <c r="B26" s="104">
        <v>9088301.0</v>
      </c>
      <c r="C26" s="105">
        <v>45341.0</v>
      </c>
      <c r="D26" s="113" t="s">
        <v>127</v>
      </c>
      <c r="E26" s="107">
        <v>123.0</v>
      </c>
      <c r="F26" s="115"/>
    </row>
    <row r="27" ht="21.0" customHeight="1">
      <c r="A27" s="115"/>
      <c r="B27" s="131">
        <v>286.0</v>
      </c>
      <c r="C27" s="132">
        <v>45342.0</v>
      </c>
      <c r="D27" s="113" t="s">
        <v>128</v>
      </c>
      <c r="E27" s="133">
        <v>350.0</v>
      </c>
      <c r="F27" s="115"/>
    </row>
    <row r="28" ht="15.0" customHeight="1">
      <c r="A28" s="115"/>
      <c r="B28" s="134">
        <v>813.0</v>
      </c>
      <c r="C28" s="135">
        <v>45345.0</v>
      </c>
      <c r="D28" s="136" t="s">
        <v>129</v>
      </c>
      <c r="E28" s="137">
        <v>135.0</v>
      </c>
      <c r="F28" s="115"/>
    </row>
    <row r="29" ht="15.0" customHeight="1">
      <c r="A29" s="115"/>
      <c r="B29" s="134">
        <v>287.0</v>
      </c>
      <c r="C29" s="135">
        <v>45345.0</v>
      </c>
      <c r="D29" s="136" t="s">
        <v>130</v>
      </c>
      <c r="E29" s="137">
        <v>50.0</v>
      </c>
      <c r="F29" s="115"/>
    </row>
    <row r="30" ht="20.25" customHeight="1">
      <c r="A30" s="115"/>
      <c r="B30" s="134">
        <v>288.0</v>
      </c>
      <c r="C30" s="105">
        <v>45348.0</v>
      </c>
      <c r="D30" s="113" t="s">
        <v>131</v>
      </c>
      <c r="E30" s="107">
        <v>100.0</v>
      </c>
      <c r="F30" s="115"/>
    </row>
    <row r="31" ht="15.0" customHeight="1">
      <c r="A31" s="115"/>
      <c r="B31" s="104">
        <v>204743.0</v>
      </c>
      <c r="C31" s="105">
        <v>45349.0</v>
      </c>
      <c r="D31" s="113" t="s">
        <v>132</v>
      </c>
      <c r="E31" s="107">
        <v>61.66</v>
      </c>
      <c r="F31" s="115"/>
    </row>
    <row r="32" ht="15.0" customHeight="1">
      <c r="A32" s="115"/>
      <c r="B32" s="104">
        <v>38979.0</v>
      </c>
      <c r="C32" s="105">
        <v>45350.0</v>
      </c>
      <c r="D32" s="113" t="s">
        <v>133</v>
      </c>
      <c r="E32" s="107">
        <v>70.0</v>
      </c>
      <c r="F32" s="115"/>
    </row>
    <row r="33" ht="15.0" customHeight="1">
      <c r="A33" s="115"/>
      <c r="B33" s="104">
        <v>204741.0</v>
      </c>
      <c r="C33" s="105">
        <v>45318.0</v>
      </c>
      <c r="D33" s="113" t="s">
        <v>134</v>
      </c>
      <c r="E33" s="107">
        <v>87.73</v>
      </c>
      <c r="F33" s="115"/>
    </row>
    <row r="34" ht="30.0" customHeight="1">
      <c r="A34" s="115"/>
      <c r="B34" s="131">
        <v>289.0</v>
      </c>
      <c r="C34" s="132">
        <v>45351.0</v>
      </c>
      <c r="D34" s="113" t="s">
        <v>135</v>
      </c>
      <c r="E34" s="133">
        <v>45.0</v>
      </c>
      <c r="F34" s="115"/>
    </row>
    <row r="35" ht="36.0" customHeight="1">
      <c r="A35" s="95"/>
      <c r="B35" s="109">
        <v>290.0</v>
      </c>
      <c r="C35" s="110">
        <v>45351.0</v>
      </c>
      <c r="D35" s="138" t="s">
        <v>136</v>
      </c>
      <c r="E35" s="112">
        <v>100.0</v>
      </c>
      <c r="F35" s="95"/>
    </row>
    <row r="36" ht="17.25" customHeight="1">
      <c r="A36" s="139" t="s">
        <v>137</v>
      </c>
      <c r="B36" s="126">
        <v>282.0</v>
      </c>
      <c r="C36" s="127">
        <v>45327.0</v>
      </c>
      <c r="D36" s="128" t="s">
        <v>138</v>
      </c>
      <c r="E36" s="140">
        <v>20.0</v>
      </c>
      <c r="F36" s="130">
        <f>SUM(E36:E37)</f>
        <v>20</v>
      </c>
    </row>
    <row r="37" ht="15.0" customHeight="1">
      <c r="A37" s="76"/>
      <c r="B37" s="141"/>
      <c r="C37" s="142"/>
      <c r="D37" s="118"/>
      <c r="E37" s="143"/>
      <c r="F37" s="95"/>
    </row>
    <row r="38" ht="15.0" customHeight="1">
      <c r="A38" s="144"/>
      <c r="B38" s="145"/>
      <c r="C38" s="145"/>
      <c r="D38" s="146" t="s">
        <v>139</v>
      </c>
      <c r="E38" s="147"/>
      <c r="F38" s="148">
        <f>SUM(F8:F37)</f>
        <v>23328.59</v>
      </c>
    </row>
    <row r="39" ht="15.75" customHeight="1">
      <c r="A39" s="5"/>
      <c r="B39" s="88"/>
      <c r="C39" s="88"/>
    </row>
    <row r="40" ht="15.75" customHeight="1">
      <c r="A40" s="5"/>
      <c r="B40" s="88"/>
      <c r="C40" s="88"/>
    </row>
    <row r="41" ht="15.75" customHeight="1">
      <c r="A41" s="5"/>
      <c r="B41" s="88"/>
      <c r="C41" s="88"/>
    </row>
    <row r="42" ht="15.75" customHeight="1">
      <c r="A42" s="5"/>
      <c r="B42" s="88"/>
      <c r="C42" s="88"/>
    </row>
    <row r="43" ht="15.75" customHeight="1">
      <c r="A43" s="5"/>
      <c r="B43" s="88"/>
      <c r="C43" s="88"/>
    </row>
    <row r="44" ht="15.75" customHeight="1">
      <c r="A44" s="5"/>
      <c r="B44" s="88"/>
      <c r="C44" s="88"/>
    </row>
    <row r="45" ht="15.75" customHeight="1">
      <c r="A45" s="5"/>
      <c r="B45" s="88"/>
      <c r="C45" s="88"/>
    </row>
    <row r="46" ht="15.75" customHeight="1">
      <c r="A46" s="5"/>
      <c r="B46" s="88"/>
      <c r="C46" s="88"/>
    </row>
    <row r="47" ht="15.75" customHeight="1">
      <c r="A47" s="5"/>
      <c r="B47" s="88"/>
      <c r="C47" s="88"/>
    </row>
    <row r="48" ht="15.75" customHeight="1">
      <c r="A48" s="5"/>
      <c r="B48" s="88"/>
      <c r="C48" s="88"/>
    </row>
    <row r="49" ht="15.75" customHeight="1">
      <c r="A49" s="5"/>
      <c r="B49" s="88"/>
      <c r="C49" s="88"/>
    </row>
    <row r="50" ht="15.75" customHeight="1">
      <c r="A50" s="5"/>
      <c r="B50" s="88"/>
      <c r="C50" s="88"/>
    </row>
    <row r="51" ht="15.75" customHeight="1">
      <c r="A51" s="5"/>
      <c r="B51" s="88"/>
      <c r="C51" s="88"/>
    </row>
    <row r="52" ht="15.75" customHeight="1">
      <c r="A52" s="5"/>
      <c r="B52" s="88"/>
      <c r="C52" s="88"/>
    </row>
    <row r="53" ht="15.75" customHeight="1">
      <c r="A53" s="5"/>
      <c r="B53" s="88"/>
      <c r="C53" s="88"/>
    </row>
    <row r="54" ht="15.75" customHeight="1">
      <c r="A54" s="5"/>
      <c r="B54" s="88"/>
      <c r="C54" s="88"/>
    </row>
    <row r="55" ht="15.75" customHeight="1">
      <c r="A55" s="5"/>
      <c r="B55" s="88"/>
      <c r="C55" s="88"/>
    </row>
    <row r="56" ht="15.75" customHeight="1">
      <c r="A56" s="5"/>
      <c r="B56" s="88"/>
      <c r="C56" s="88"/>
    </row>
    <row r="57" ht="15.75" customHeight="1">
      <c r="A57" s="5"/>
      <c r="B57" s="88"/>
      <c r="C57" s="88"/>
    </row>
    <row r="58" ht="15.75" customHeight="1">
      <c r="A58" s="5"/>
      <c r="B58" s="88"/>
      <c r="C58" s="88"/>
    </row>
    <row r="59" ht="15.75" customHeight="1">
      <c r="A59" s="5"/>
      <c r="B59" s="88"/>
      <c r="C59" s="88"/>
    </row>
    <row r="60" ht="15.75" customHeight="1">
      <c r="A60" s="5"/>
      <c r="B60" s="88"/>
      <c r="C60" s="88"/>
    </row>
    <row r="61" ht="15.75" customHeight="1">
      <c r="A61" s="5"/>
      <c r="B61" s="88"/>
      <c r="C61" s="88"/>
    </row>
    <row r="62" ht="15.75" customHeight="1">
      <c r="A62" s="5"/>
      <c r="B62" s="88"/>
      <c r="C62" s="88"/>
    </row>
    <row r="63" ht="15.75" customHeight="1">
      <c r="A63" s="5"/>
      <c r="B63" s="88"/>
      <c r="C63" s="88"/>
    </row>
    <row r="64" ht="15.75" customHeight="1">
      <c r="A64" s="5"/>
      <c r="B64" s="88"/>
      <c r="C64" s="88"/>
    </row>
    <row r="65" ht="15.75" customHeight="1">
      <c r="A65" s="5"/>
      <c r="B65" s="88"/>
      <c r="C65" s="88"/>
    </row>
    <row r="66" ht="15.75" customHeight="1">
      <c r="A66" s="5"/>
      <c r="B66" s="88"/>
      <c r="C66" s="88"/>
    </row>
    <row r="67" ht="15.75" customHeight="1">
      <c r="A67" s="5"/>
      <c r="B67" s="88"/>
      <c r="C67" s="88"/>
    </row>
    <row r="68" ht="15.75" customHeight="1">
      <c r="A68" s="5"/>
      <c r="B68" s="88"/>
      <c r="C68" s="88"/>
    </row>
    <row r="69" ht="15.75" customHeight="1">
      <c r="A69" s="5"/>
      <c r="B69" s="88"/>
      <c r="C69" s="88"/>
    </row>
    <row r="70" ht="15.75" customHeight="1">
      <c r="A70" s="5"/>
      <c r="B70" s="88"/>
      <c r="C70" s="88"/>
    </row>
    <row r="71" ht="15.75" customHeight="1">
      <c r="A71" s="5"/>
      <c r="B71" s="88"/>
      <c r="C71" s="88"/>
    </row>
    <row r="72" ht="15.75" customHeight="1">
      <c r="A72" s="5"/>
      <c r="B72" s="88"/>
      <c r="C72" s="88"/>
    </row>
    <row r="73" ht="15.75" customHeight="1">
      <c r="A73" s="5"/>
      <c r="B73" s="88"/>
      <c r="C73" s="88"/>
    </row>
    <row r="74" ht="15.75" customHeight="1">
      <c r="A74" s="5"/>
      <c r="B74" s="88"/>
      <c r="C74" s="88"/>
    </row>
    <row r="75" ht="15.75" customHeight="1">
      <c r="A75" s="5"/>
      <c r="B75" s="88"/>
      <c r="C75" s="88"/>
    </row>
    <row r="76" ht="15.75" customHeight="1">
      <c r="A76" s="5"/>
      <c r="B76" s="88"/>
      <c r="C76" s="88"/>
    </row>
    <row r="77" ht="15.75" customHeight="1">
      <c r="A77" s="5"/>
      <c r="B77" s="88"/>
      <c r="C77" s="88"/>
    </row>
    <row r="78" ht="15.75" customHeight="1">
      <c r="A78" s="5"/>
      <c r="B78" s="88"/>
      <c r="C78" s="88"/>
    </row>
    <row r="79" ht="15.75" customHeight="1">
      <c r="A79" s="5"/>
      <c r="B79" s="88"/>
      <c r="C79" s="88"/>
    </row>
    <row r="80" ht="15.75" customHeight="1">
      <c r="A80" s="5"/>
      <c r="B80" s="88"/>
      <c r="C80" s="88"/>
    </row>
    <row r="81" ht="15.75" customHeight="1">
      <c r="A81" s="5"/>
      <c r="B81" s="88"/>
      <c r="C81" s="88"/>
    </row>
    <row r="82" ht="15.75" customHeight="1">
      <c r="A82" s="5"/>
      <c r="B82" s="88"/>
      <c r="C82" s="88"/>
    </row>
    <row r="83" ht="15.75" customHeight="1">
      <c r="A83" s="5"/>
      <c r="B83" s="88"/>
      <c r="C83" s="88"/>
    </row>
    <row r="84" ht="15.75" customHeight="1">
      <c r="A84" s="5"/>
      <c r="B84" s="88"/>
      <c r="C84" s="88"/>
    </row>
    <row r="85" ht="15.75" customHeight="1">
      <c r="A85" s="5"/>
      <c r="B85" s="88"/>
      <c r="C85" s="88"/>
    </row>
    <row r="86" ht="15.75" customHeight="1">
      <c r="A86" s="5"/>
      <c r="B86" s="88"/>
      <c r="C86" s="88"/>
    </row>
    <row r="87" ht="15.75" customHeight="1">
      <c r="A87" s="5"/>
      <c r="B87" s="88"/>
      <c r="C87" s="88"/>
    </row>
    <row r="88" ht="15.75" customHeight="1">
      <c r="A88" s="5"/>
      <c r="B88" s="88"/>
      <c r="C88" s="88"/>
    </row>
    <row r="89" ht="15.75" customHeight="1">
      <c r="A89" s="5"/>
      <c r="B89" s="88"/>
      <c r="C89" s="88"/>
    </row>
    <row r="90" ht="15.75" customHeight="1">
      <c r="A90" s="5"/>
      <c r="B90" s="88"/>
      <c r="C90" s="88"/>
    </row>
    <row r="91" ht="15.75" customHeight="1">
      <c r="A91" s="5"/>
      <c r="B91" s="88"/>
      <c r="C91" s="88"/>
    </row>
    <row r="92" ht="15.75" customHeight="1">
      <c r="A92" s="5"/>
      <c r="B92" s="88"/>
      <c r="C92" s="88"/>
    </row>
    <row r="93" ht="15.75" customHeight="1">
      <c r="A93" s="5"/>
      <c r="B93" s="88"/>
      <c r="C93" s="88"/>
    </row>
    <row r="94" ht="15.75" customHeight="1">
      <c r="A94" s="5"/>
      <c r="B94" s="88"/>
      <c r="C94" s="88"/>
    </row>
    <row r="95" ht="15.75" customHeight="1">
      <c r="A95" s="5"/>
      <c r="B95" s="88"/>
      <c r="C95" s="88"/>
    </row>
    <row r="96" ht="15.75" customHeight="1">
      <c r="A96" s="5"/>
      <c r="B96" s="88"/>
      <c r="C96" s="88"/>
    </row>
    <row r="97" ht="15.75" customHeight="1">
      <c r="A97" s="5"/>
      <c r="B97" s="88"/>
      <c r="C97" s="88"/>
    </row>
    <row r="98" ht="15.75" customHeight="1">
      <c r="A98" s="5"/>
      <c r="B98" s="88"/>
      <c r="C98" s="88"/>
    </row>
    <row r="99" ht="15.75" customHeight="1">
      <c r="A99" s="5"/>
      <c r="B99" s="88"/>
      <c r="C99" s="88"/>
    </row>
    <row r="100" ht="15.75" customHeight="1">
      <c r="A100" s="5"/>
      <c r="B100" s="88"/>
      <c r="C100" s="88"/>
    </row>
    <row r="101" ht="15.75" customHeight="1">
      <c r="A101" s="5"/>
      <c r="B101" s="88"/>
      <c r="C101" s="88"/>
    </row>
    <row r="102" ht="15.75" customHeight="1">
      <c r="A102" s="5"/>
      <c r="B102" s="88"/>
      <c r="C102" s="88"/>
    </row>
    <row r="103" ht="15.75" customHeight="1">
      <c r="A103" s="5"/>
      <c r="B103" s="88"/>
      <c r="C103" s="88"/>
    </row>
    <row r="104" ht="15.75" customHeight="1">
      <c r="A104" s="5"/>
      <c r="B104" s="88"/>
      <c r="C104" s="88"/>
    </row>
    <row r="105" ht="15.75" customHeight="1">
      <c r="A105" s="5"/>
      <c r="B105" s="88"/>
      <c r="C105" s="88"/>
    </row>
    <row r="106" ht="15.75" customHeight="1">
      <c r="A106" s="5"/>
      <c r="B106" s="88"/>
      <c r="C106" s="88"/>
    </row>
    <row r="107" ht="15.75" customHeight="1">
      <c r="A107" s="5"/>
      <c r="B107" s="88"/>
      <c r="C107" s="88"/>
    </row>
    <row r="108" ht="15.75" customHeight="1">
      <c r="A108" s="5"/>
      <c r="B108" s="88"/>
      <c r="C108" s="88"/>
    </row>
    <row r="109" ht="15.75" customHeight="1">
      <c r="A109" s="5"/>
      <c r="B109" s="88"/>
      <c r="C109" s="88"/>
    </row>
    <row r="110" ht="15.75" customHeight="1">
      <c r="A110" s="5"/>
      <c r="B110" s="88"/>
      <c r="C110" s="88"/>
    </row>
    <row r="111" ht="15.75" customHeight="1">
      <c r="A111" s="5"/>
      <c r="B111" s="88"/>
      <c r="C111" s="88"/>
    </row>
    <row r="112" ht="15.75" customHeight="1">
      <c r="A112" s="5"/>
      <c r="B112" s="88"/>
      <c r="C112" s="88"/>
    </row>
    <row r="113" ht="15.75" customHeight="1">
      <c r="A113" s="5"/>
      <c r="B113" s="88"/>
      <c r="C113" s="88"/>
    </row>
    <row r="114" ht="15.75" customHeight="1">
      <c r="A114" s="5"/>
      <c r="B114" s="88"/>
      <c r="C114" s="88"/>
    </row>
    <row r="115" ht="15.75" customHeight="1">
      <c r="A115" s="5"/>
      <c r="B115" s="88"/>
      <c r="C115" s="88"/>
    </row>
    <row r="116" ht="15.75" customHeight="1">
      <c r="A116" s="5"/>
      <c r="B116" s="88"/>
      <c r="C116" s="88"/>
    </row>
    <row r="117" ht="15.75" customHeight="1">
      <c r="A117" s="5"/>
      <c r="B117" s="88"/>
      <c r="C117" s="88"/>
    </row>
    <row r="118" ht="15.75" customHeight="1">
      <c r="A118" s="5"/>
      <c r="B118" s="88"/>
      <c r="C118" s="88"/>
    </row>
    <row r="119" ht="15.75" customHeight="1">
      <c r="A119" s="5"/>
      <c r="B119" s="88"/>
      <c r="C119" s="88"/>
    </row>
    <row r="120" ht="15.75" customHeight="1">
      <c r="A120" s="5"/>
      <c r="B120" s="88"/>
      <c r="C120" s="88"/>
    </row>
    <row r="121" ht="15.75" customHeight="1">
      <c r="A121" s="5"/>
      <c r="B121" s="88"/>
      <c r="C121" s="88"/>
    </row>
    <row r="122" ht="15.75" customHeight="1">
      <c r="A122" s="5"/>
      <c r="B122" s="88"/>
      <c r="C122" s="88"/>
    </row>
    <row r="123" ht="15.75" customHeight="1">
      <c r="A123" s="5"/>
      <c r="B123" s="88"/>
      <c r="C123" s="88"/>
    </row>
    <row r="124" ht="15.75" customHeight="1">
      <c r="A124" s="5"/>
      <c r="B124" s="88"/>
      <c r="C124" s="88"/>
    </row>
    <row r="125" ht="15.75" customHeight="1">
      <c r="A125" s="5"/>
      <c r="B125" s="88"/>
      <c r="C125" s="88"/>
    </row>
    <row r="126" ht="15.75" customHeight="1">
      <c r="A126" s="5"/>
      <c r="B126" s="88"/>
      <c r="C126" s="88"/>
    </row>
    <row r="127" ht="15.75" customHeight="1">
      <c r="A127" s="5"/>
      <c r="B127" s="88"/>
      <c r="C127" s="88"/>
    </row>
    <row r="128" ht="15.75" customHeight="1">
      <c r="A128" s="5"/>
      <c r="B128" s="88"/>
      <c r="C128" s="88"/>
    </row>
    <row r="129" ht="15.75" customHeight="1">
      <c r="A129" s="5"/>
      <c r="B129" s="88"/>
      <c r="C129" s="88"/>
    </row>
    <row r="130" ht="15.75" customHeight="1">
      <c r="A130" s="5"/>
      <c r="B130" s="88"/>
      <c r="C130" s="88"/>
    </row>
    <row r="131" ht="15.75" customHeight="1">
      <c r="A131" s="5"/>
      <c r="B131" s="88"/>
      <c r="C131" s="88"/>
    </row>
    <row r="132" ht="15.75" customHeight="1">
      <c r="A132" s="5"/>
      <c r="B132" s="88"/>
      <c r="C132" s="88"/>
    </row>
    <row r="133" ht="15.75" customHeight="1">
      <c r="A133" s="5"/>
      <c r="B133" s="88"/>
      <c r="C133" s="88"/>
    </row>
    <row r="134" ht="15.75" customHeight="1">
      <c r="A134" s="5"/>
      <c r="B134" s="88"/>
      <c r="C134" s="88"/>
    </row>
    <row r="135" ht="15.75" customHeight="1">
      <c r="A135" s="5"/>
      <c r="B135" s="88"/>
      <c r="C135" s="88"/>
    </row>
    <row r="136" ht="15.75" customHeight="1">
      <c r="A136" s="5"/>
      <c r="B136" s="88"/>
      <c r="C136" s="88"/>
    </row>
    <row r="137" ht="15.75" customHeight="1">
      <c r="A137" s="5"/>
      <c r="B137" s="88"/>
      <c r="C137" s="88"/>
    </row>
    <row r="138" ht="15.75" customHeight="1">
      <c r="A138" s="5"/>
      <c r="B138" s="88"/>
      <c r="C138" s="88"/>
    </row>
    <row r="139" ht="15.75" customHeight="1">
      <c r="A139" s="5"/>
      <c r="B139" s="88"/>
      <c r="C139" s="88"/>
    </row>
    <row r="140" ht="15.75" customHeight="1">
      <c r="A140" s="5"/>
      <c r="B140" s="88"/>
      <c r="C140" s="88"/>
    </row>
    <row r="141" ht="15.75" customHeight="1">
      <c r="A141" s="5"/>
      <c r="B141" s="88"/>
      <c r="C141" s="88"/>
    </row>
    <row r="142" ht="15.75" customHeight="1">
      <c r="A142" s="5"/>
      <c r="B142" s="88"/>
      <c r="C142" s="88"/>
    </row>
    <row r="143" ht="15.75" customHeight="1">
      <c r="A143" s="5"/>
      <c r="B143" s="88"/>
      <c r="C143" s="88"/>
    </row>
    <row r="144" ht="15.75" customHeight="1">
      <c r="A144" s="5"/>
      <c r="B144" s="88"/>
      <c r="C144" s="88"/>
    </row>
    <row r="145" ht="15.75" customHeight="1">
      <c r="A145" s="5"/>
      <c r="B145" s="88"/>
      <c r="C145" s="88"/>
    </row>
    <row r="146" ht="15.75" customHeight="1">
      <c r="A146" s="5"/>
      <c r="B146" s="88"/>
      <c r="C146" s="88"/>
    </row>
    <row r="147" ht="15.75" customHeight="1">
      <c r="A147" s="5"/>
      <c r="B147" s="88"/>
      <c r="C147" s="88"/>
    </row>
    <row r="148" ht="15.75" customHeight="1">
      <c r="A148" s="5"/>
      <c r="B148" s="88"/>
      <c r="C148" s="88"/>
    </row>
    <row r="149" ht="15.75" customHeight="1">
      <c r="A149" s="5"/>
      <c r="B149" s="88"/>
      <c r="C149" s="88"/>
    </row>
    <row r="150" ht="15.75" customHeight="1">
      <c r="A150" s="5"/>
      <c r="B150" s="88"/>
      <c r="C150" s="88"/>
    </row>
    <row r="151" ht="15.75" customHeight="1">
      <c r="A151" s="5"/>
      <c r="B151" s="88"/>
      <c r="C151" s="88"/>
    </row>
    <row r="152" ht="15.75" customHeight="1">
      <c r="A152" s="5"/>
      <c r="B152" s="88"/>
      <c r="C152" s="88"/>
    </row>
    <row r="153" ht="15.75" customHeight="1">
      <c r="A153" s="5"/>
      <c r="B153" s="88"/>
      <c r="C153" s="88"/>
    </row>
    <row r="154" ht="15.75" customHeight="1">
      <c r="A154" s="5"/>
      <c r="B154" s="88"/>
      <c r="C154" s="88"/>
    </row>
    <row r="155" ht="15.75" customHeight="1">
      <c r="A155" s="5"/>
      <c r="B155" s="88"/>
      <c r="C155" s="88"/>
    </row>
    <row r="156" ht="15.75" customHeight="1">
      <c r="A156" s="5"/>
      <c r="B156" s="88"/>
      <c r="C156" s="88"/>
    </row>
    <row r="157" ht="15.75" customHeight="1">
      <c r="A157" s="5"/>
      <c r="B157" s="88"/>
      <c r="C157" s="88"/>
    </row>
    <row r="158" ht="15.75" customHeight="1">
      <c r="A158" s="5"/>
      <c r="B158" s="88"/>
      <c r="C158" s="88"/>
    </row>
    <row r="159" ht="15.75" customHeight="1">
      <c r="A159" s="5"/>
      <c r="B159" s="88"/>
      <c r="C159" s="88"/>
    </row>
    <row r="160" ht="15.75" customHeight="1">
      <c r="A160" s="5"/>
      <c r="B160" s="88"/>
      <c r="C160" s="88"/>
    </row>
    <row r="161" ht="15.75" customHeight="1">
      <c r="A161" s="5"/>
      <c r="B161" s="88"/>
      <c r="C161" s="88"/>
    </row>
    <row r="162" ht="15.75" customHeight="1">
      <c r="A162" s="5"/>
      <c r="B162" s="88"/>
      <c r="C162" s="88"/>
    </row>
    <row r="163" ht="15.75" customHeight="1">
      <c r="A163" s="5"/>
      <c r="B163" s="88"/>
      <c r="C163" s="88"/>
    </row>
    <row r="164" ht="15.75" customHeight="1">
      <c r="A164" s="5"/>
      <c r="B164" s="88"/>
      <c r="C164" s="88"/>
    </row>
    <row r="165" ht="15.75" customHeight="1">
      <c r="A165" s="5"/>
      <c r="B165" s="88"/>
      <c r="C165" s="88"/>
    </row>
    <row r="166" ht="15.75" customHeight="1">
      <c r="A166" s="5"/>
      <c r="B166" s="88"/>
      <c r="C166" s="88"/>
    </row>
    <row r="167" ht="15.75" customHeight="1">
      <c r="A167" s="5"/>
      <c r="B167" s="88"/>
      <c r="C167" s="88"/>
    </row>
    <row r="168" ht="15.75" customHeight="1">
      <c r="A168" s="5"/>
      <c r="B168" s="88"/>
      <c r="C168" s="88"/>
    </row>
    <row r="169" ht="15.75" customHeight="1">
      <c r="A169" s="5"/>
      <c r="B169" s="88"/>
      <c r="C169" s="88"/>
    </row>
    <row r="170" ht="15.75" customHeight="1">
      <c r="A170" s="5"/>
      <c r="B170" s="88"/>
      <c r="C170" s="88"/>
    </row>
    <row r="171" ht="15.75" customHeight="1">
      <c r="A171" s="5"/>
      <c r="B171" s="88"/>
      <c r="C171" s="88"/>
    </row>
    <row r="172" ht="15.75" customHeight="1">
      <c r="A172" s="5"/>
      <c r="B172" s="88"/>
      <c r="C172" s="88"/>
    </row>
    <row r="173" ht="15.75" customHeight="1">
      <c r="A173" s="5"/>
      <c r="B173" s="88"/>
      <c r="C173" s="88"/>
    </row>
    <row r="174" ht="15.75" customHeight="1">
      <c r="A174" s="5"/>
      <c r="B174" s="88"/>
      <c r="C174" s="88"/>
    </row>
    <row r="175" ht="15.75" customHeight="1">
      <c r="A175" s="5"/>
      <c r="B175" s="88"/>
      <c r="C175" s="88"/>
    </row>
    <row r="176" ht="15.75" customHeight="1">
      <c r="A176" s="5"/>
      <c r="B176" s="88"/>
      <c r="C176" s="88"/>
    </row>
    <row r="177" ht="15.75" customHeight="1">
      <c r="A177" s="5"/>
      <c r="B177" s="88"/>
      <c r="C177" s="88"/>
    </row>
    <row r="178" ht="15.75" customHeight="1">
      <c r="A178" s="5"/>
      <c r="B178" s="88"/>
      <c r="C178" s="88"/>
    </row>
    <row r="179" ht="15.75" customHeight="1">
      <c r="A179" s="5"/>
      <c r="B179" s="88"/>
      <c r="C179" s="88"/>
    </row>
    <row r="180" ht="15.75" customHeight="1">
      <c r="A180" s="5"/>
      <c r="B180" s="88"/>
      <c r="C180" s="88"/>
    </row>
    <row r="181" ht="15.75" customHeight="1">
      <c r="A181" s="5"/>
      <c r="B181" s="88"/>
      <c r="C181" s="88"/>
    </row>
    <row r="182" ht="15.75" customHeight="1">
      <c r="A182" s="5"/>
      <c r="B182" s="88"/>
      <c r="C182" s="88"/>
    </row>
    <row r="183" ht="15.75" customHeight="1">
      <c r="A183" s="5"/>
      <c r="B183" s="88"/>
      <c r="C183" s="88"/>
    </row>
    <row r="184" ht="15.75" customHeight="1">
      <c r="A184" s="5"/>
      <c r="B184" s="88"/>
      <c r="C184" s="88"/>
    </row>
    <row r="185" ht="15.75" customHeight="1">
      <c r="A185" s="5"/>
      <c r="B185" s="88"/>
      <c r="C185" s="88"/>
    </row>
    <row r="186" ht="15.75" customHeight="1">
      <c r="A186" s="5"/>
      <c r="B186" s="88"/>
      <c r="C186" s="88"/>
    </row>
    <row r="187" ht="15.75" customHeight="1">
      <c r="A187" s="5"/>
      <c r="B187" s="88"/>
      <c r="C187" s="88"/>
    </row>
    <row r="188" ht="15.75" customHeight="1">
      <c r="A188" s="5"/>
      <c r="B188" s="88"/>
      <c r="C188" s="88"/>
    </row>
    <row r="189" ht="15.75" customHeight="1">
      <c r="A189" s="5"/>
      <c r="B189" s="88"/>
      <c r="C189" s="88"/>
    </row>
    <row r="190" ht="15.75" customHeight="1">
      <c r="A190" s="5"/>
      <c r="B190" s="88"/>
      <c r="C190" s="88"/>
    </row>
    <row r="191" ht="15.75" customHeight="1">
      <c r="A191" s="5"/>
      <c r="B191" s="88"/>
      <c r="C191" s="88"/>
    </row>
    <row r="192" ht="15.75" customHeight="1">
      <c r="A192" s="5"/>
      <c r="B192" s="88"/>
      <c r="C192" s="88"/>
    </row>
    <row r="193" ht="15.75" customHeight="1">
      <c r="A193" s="5"/>
      <c r="B193" s="88"/>
      <c r="C193" s="88"/>
    </row>
    <row r="194" ht="15.75" customHeight="1">
      <c r="A194" s="5"/>
      <c r="B194" s="88"/>
      <c r="C194" s="88"/>
    </row>
    <row r="195" ht="15.75" customHeight="1">
      <c r="A195" s="5"/>
      <c r="B195" s="88"/>
      <c r="C195" s="88"/>
    </row>
    <row r="196" ht="15.75" customHeight="1">
      <c r="A196" s="5"/>
      <c r="B196" s="88"/>
      <c r="C196" s="88"/>
    </row>
    <row r="197" ht="15.75" customHeight="1">
      <c r="A197" s="5"/>
      <c r="B197" s="88"/>
      <c r="C197" s="88"/>
    </row>
    <row r="198" ht="15.75" customHeight="1">
      <c r="A198" s="5"/>
      <c r="B198" s="88"/>
      <c r="C198" s="88"/>
    </row>
    <row r="199" ht="15.75" customHeight="1">
      <c r="A199" s="5"/>
      <c r="B199" s="88"/>
      <c r="C199" s="88"/>
    </row>
    <row r="200" ht="15.75" customHeight="1">
      <c r="A200" s="5"/>
      <c r="B200" s="88"/>
      <c r="C200" s="88"/>
    </row>
    <row r="201" ht="15.75" customHeight="1">
      <c r="A201" s="5"/>
      <c r="B201" s="88"/>
      <c r="C201" s="88"/>
    </row>
    <row r="202" ht="15.75" customHeight="1">
      <c r="A202" s="5"/>
      <c r="B202" s="88"/>
      <c r="C202" s="88"/>
    </row>
    <row r="203" ht="15.75" customHeight="1">
      <c r="A203" s="5"/>
      <c r="B203" s="88"/>
      <c r="C203" s="88"/>
    </row>
    <row r="204" ht="15.75" customHeight="1">
      <c r="A204" s="5"/>
      <c r="B204" s="88"/>
      <c r="C204" s="88"/>
    </row>
    <row r="205" ht="15.75" customHeight="1">
      <c r="A205" s="5"/>
      <c r="B205" s="88"/>
      <c r="C205" s="88"/>
    </row>
    <row r="206" ht="15.75" customHeight="1">
      <c r="A206" s="5"/>
      <c r="B206" s="88"/>
      <c r="C206" s="88"/>
    </row>
    <row r="207" ht="15.75" customHeight="1">
      <c r="A207" s="5"/>
      <c r="B207" s="88"/>
      <c r="C207" s="88"/>
    </row>
    <row r="208" ht="15.75" customHeight="1">
      <c r="A208" s="5"/>
      <c r="B208" s="88"/>
      <c r="C208" s="88"/>
    </row>
    <row r="209" ht="15.75" customHeight="1">
      <c r="A209" s="5"/>
      <c r="B209" s="88"/>
      <c r="C209" s="88"/>
    </row>
    <row r="210" ht="15.75" customHeight="1">
      <c r="A210" s="5"/>
      <c r="B210" s="88"/>
      <c r="C210" s="88"/>
    </row>
    <row r="211" ht="15.75" customHeight="1">
      <c r="A211" s="5"/>
      <c r="B211" s="88"/>
      <c r="C211" s="88"/>
    </row>
    <row r="212" ht="15.75" customHeight="1">
      <c r="A212" s="5"/>
      <c r="B212" s="88"/>
      <c r="C212" s="88"/>
    </row>
    <row r="213" ht="15.75" customHeight="1">
      <c r="A213" s="5"/>
      <c r="B213" s="88"/>
      <c r="C213" s="88"/>
    </row>
    <row r="214" ht="15.75" customHeight="1">
      <c r="A214" s="5"/>
      <c r="B214" s="88"/>
      <c r="C214" s="88"/>
    </row>
    <row r="215" ht="15.75" customHeight="1">
      <c r="A215" s="5"/>
      <c r="B215" s="88"/>
      <c r="C215" s="88"/>
    </row>
    <row r="216" ht="15.75" customHeight="1">
      <c r="A216" s="5"/>
      <c r="B216" s="88"/>
      <c r="C216" s="88"/>
    </row>
    <row r="217" ht="15.75" customHeight="1">
      <c r="A217" s="5"/>
      <c r="B217" s="88"/>
      <c r="C217" s="88"/>
    </row>
    <row r="218" ht="15.75" customHeight="1">
      <c r="A218" s="5"/>
      <c r="B218" s="88"/>
      <c r="C218" s="88"/>
    </row>
    <row r="219" ht="15.75" customHeight="1">
      <c r="A219" s="5"/>
      <c r="B219" s="88"/>
      <c r="C219" s="88"/>
    </row>
    <row r="220" ht="15.75" customHeight="1">
      <c r="A220" s="5"/>
      <c r="B220" s="88"/>
      <c r="C220" s="88"/>
    </row>
    <row r="221" ht="15.75" customHeight="1">
      <c r="A221" s="5"/>
      <c r="B221" s="88"/>
      <c r="C221" s="88"/>
    </row>
    <row r="222" ht="15.75" customHeight="1">
      <c r="A222" s="5"/>
      <c r="B222" s="88"/>
      <c r="C222" s="88"/>
    </row>
    <row r="223" ht="15.75" customHeight="1">
      <c r="A223" s="5"/>
      <c r="B223" s="88"/>
      <c r="C223" s="88"/>
    </row>
    <row r="224" ht="15.75" customHeight="1">
      <c r="A224" s="5"/>
      <c r="B224" s="88"/>
      <c r="C224" s="88"/>
    </row>
    <row r="225" ht="15.75" customHeight="1">
      <c r="A225" s="5"/>
      <c r="B225" s="88"/>
      <c r="C225" s="88"/>
    </row>
    <row r="226" ht="15.75" customHeight="1">
      <c r="A226" s="5"/>
      <c r="B226" s="88"/>
      <c r="C226" s="88"/>
    </row>
    <row r="227" ht="15.75" customHeight="1">
      <c r="A227" s="5"/>
      <c r="B227" s="88"/>
      <c r="C227" s="88"/>
    </row>
    <row r="228" ht="15.75" customHeight="1">
      <c r="A228" s="5"/>
      <c r="B228" s="88"/>
      <c r="C228" s="88"/>
    </row>
    <row r="229" ht="15.75" customHeight="1">
      <c r="A229" s="5"/>
      <c r="B229" s="88"/>
      <c r="C229" s="88"/>
    </row>
    <row r="230" ht="15.75" customHeight="1">
      <c r="A230" s="5"/>
      <c r="B230" s="88"/>
      <c r="C230" s="88"/>
    </row>
    <row r="231" ht="15.75" customHeight="1">
      <c r="A231" s="5"/>
      <c r="B231" s="88"/>
      <c r="C231" s="88"/>
    </row>
    <row r="232" ht="15.75" customHeight="1">
      <c r="A232" s="5"/>
      <c r="B232" s="88"/>
      <c r="C232" s="88"/>
    </row>
    <row r="233" ht="15.75" customHeight="1">
      <c r="A233" s="5"/>
      <c r="B233" s="88"/>
      <c r="C233" s="88"/>
    </row>
    <row r="234" ht="15.75" customHeight="1">
      <c r="A234" s="5"/>
      <c r="B234" s="88"/>
      <c r="C234" s="88"/>
    </row>
    <row r="235" ht="15.75" customHeight="1">
      <c r="A235" s="5"/>
      <c r="B235" s="88"/>
      <c r="C235" s="88"/>
    </row>
    <row r="236" ht="15.75" customHeight="1">
      <c r="A236" s="5"/>
      <c r="B236" s="88"/>
      <c r="C236" s="88"/>
    </row>
    <row r="237" ht="15.75" customHeight="1">
      <c r="A237" s="5"/>
      <c r="B237" s="88"/>
      <c r="C237" s="88"/>
    </row>
    <row r="238" ht="15.75" customHeight="1">
      <c r="A238" s="5"/>
      <c r="B238" s="88"/>
      <c r="C238" s="88"/>
    </row>
    <row r="239" ht="15.75" customHeight="1">
      <c r="A239" s="5"/>
      <c r="B239" s="88"/>
      <c r="C239" s="88"/>
    </row>
    <row r="240" ht="15.75" customHeight="1">
      <c r="A240" s="5"/>
      <c r="B240" s="88"/>
      <c r="C240" s="88"/>
    </row>
    <row r="241" ht="15.75" customHeight="1">
      <c r="A241" s="5"/>
      <c r="B241" s="88"/>
      <c r="C241" s="88"/>
    </row>
    <row r="242" ht="15.75" customHeight="1">
      <c r="A242" s="5"/>
      <c r="B242" s="88"/>
      <c r="C242" s="88"/>
    </row>
    <row r="243" ht="15.75" customHeight="1">
      <c r="A243" s="5"/>
      <c r="B243" s="88"/>
      <c r="C243" s="88"/>
    </row>
    <row r="244" ht="15.75" customHeight="1">
      <c r="A244" s="5"/>
      <c r="B244" s="88"/>
      <c r="C244" s="88"/>
    </row>
    <row r="245" ht="15.75" customHeight="1">
      <c r="A245" s="5"/>
      <c r="B245" s="88"/>
      <c r="C245" s="88"/>
    </row>
    <row r="246" ht="15.75" customHeight="1">
      <c r="A246" s="5"/>
      <c r="B246" s="88"/>
      <c r="C246" s="88"/>
    </row>
    <row r="247" ht="15.75" customHeight="1">
      <c r="A247" s="5"/>
      <c r="B247" s="88"/>
      <c r="C247" s="88"/>
    </row>
    <row r="248" ht="15.75" customHeight="1">
      <c r="A248" s="5"/>
      <c r="B248" s="88"/>
      <c r="C248" s="88"/>
    </row>
    <row r="249" ht="15.75" customHeight="1">
      <c r="A249" s="5"/>
      <c r="B249" s="88"/>
      <c r="C249" s="88"/>
    </row>
    <row r="250" ht="15.75" customHeight="1">
      <c r="A250" s="5"/>
      <c r="B250" s="88"/>
      <c r="C250" s="88"/>
    </row>
    <row r="251" ht="15.75" customHeight="1">
      <c r="A251" s="5"/>
      <c r="B251" s="88"/>
      <c r="C251" s="88"/>
    </row>
    <row r="252" ht="15.75" customHeight="1">
      <c r="A252" s="5"/>
      <c r="B252" s="88"/>
      <c r="C252" s="88"/>
    </row>
    <row r="253" ht="15.75" customHeight="1">
      <c r="A253" s="5"/>
      <c r="B253" s="88"/>
      <c r="C253" s="88"/>
    </row>
    <row r="254" ht="15.75" customHeight="1">
      <c r="A254" s="5"/>
      <c r="B254" s="88"/>
      <c r="C254" s="88"/>
    </row>
    <row r="255" ht="15.75" customHeight="1">
      <c r="A255" s="5"/>
      <c r="B255" s="88"/>
      <c r="C255" s="88"/>
    </row>
    <row r="256" ht="15.75" customHeight="1">
      <c r="A256" s="5"/>
      <c r="B256" s="88"/>
      <c r="C256" s="88"/>
    </row>
    <row r="257" ht="15.75" customHeight="1">
      <c r="A257" s="5"/>
      <c r="B257" s="88"/>
      <c r="C257" s="88"/>
    </row>
    <row r="258" ht="15.75" customHeight="1">
      <c r="A258" s="5"/>
      <c r="B258" s="88"/>
      <c r="C258" s="88"/>
    </row>
    <row r="259" ht="15.75" customHeight="1">
      <c r="A259" s="5"/>
      <c r="B259" s="88"/>
      <c r="C259" s="88"/>
    </row>
    <row r="260" ht="15.75" customHeight="1">
      <c r="A260" s="5"/>
      <c r="B260" s="88"/>
      <c r="C260" s="88"/>
    </row>
    <row r="261" ht="15.75" customHeight="1">
      <c r="A261" s="5"/>
      <c r="B261" s="88"/>
      <c r="C261" s="88"/>
    </row>
    <row r="262" ht="15.75" customHeight="1">
      <c r="A262" s="5"/>
      <c r="B262" s="88"/>
      <c r="C262" s="88"/>
    </row>
    <row r="263" ht="15.75" customHeight="1">
      <c r="A263" s="5"/>
      <c r="B263" s="88"/>
      <c r="C263" s="88"/>
    </row>
    <row r="264" ht="15.75" customHeight="1">
      <c r="A264" s="5"/>
      <c r="B264" s="88"/>
      <c r="C264" s="88"/>
    </row>
    <row r="265" ht="15.75" customHeight="1">
      <c r="A265" s="5"/>
      <c r="B265" s="88"/>
      <c r="C265" s="88"/>
    </row>
    <row r="266" ht="15.75" customHeight="1">
      <c r="A266" s="5"/>
      <c r="B266" s="88"/>
      <c r="C266" s="88"/>
    </row>
    <row r="267" ht="15.75" customHeight="1">
      <c r="A267" s="5"/>
      <c r="B267" s="88"/>
      <c r="C267" s="88"/>
    </row>
    <row r="268" ht="15.75" customHeight="1">
      <c r="A268" s="5"/>
      <c r="B268" s="88"/>
      <c r="C268" s="88"/>
    </row>
    <row r="269" ht="15.75" customHeight="1">
      <c r="A269" s="5"/>
      <c r="B269" s="88"/>
      <c r="C269" s="88"/>
    </row>
    <row r="270" ht="15.75" customHeight="1">
      <c r="A270" s="5"/>
      <c r="B270" s="88"/>
      <c r="C270" s="88"/>
    </row>
    <row r="271" ht="15.75" customHeight="1">
      <c r="A271" s="5"/>
      <c r="B271" s="88"/>
      <c r="C271" s="88"/>
    </row>
    <row r="272" ht="15.75" customHeight="1">
      <c r="A272" s="5"/>
      <c r="B272" s="88"/>
      <c r="C272" s="88"/>
    </row>
    <row r="273" ht="15.75" customHeight="1">
      <c r="A273" s="5"/>
      <c r="B273" s="88"/>
      <c r="C273" s="88"/>
    </row>
    <row r="274" ht="15.75" customHeight="1">
      <c r="A274" s="5"/>
      <c r="B274" s="88"/>
      <c r="C274" s="88"/>
    </row>
    <row r="275" ht="15.75" customHeight="1">
      <c r="A275" s="5"/>
      <c r="B275" s="88"/>
      <c r="C275" s="88"/>
    </row>
    <row r="276" ht="15.75" customHeight="1">
      <c r="A276" s="5"/>
      <c r="B276" s="88"/>
      <c r="C276" s="88"/>
    </row>
    <row r="277" ht="15.75" customHeight="1">
      <c r="A277" s="5"/>
      <c r="B277" s="88"/>
      <c r="C277" s="88"/>
    </row>
    <row r="278" ht="15.75" customHeight="1">
      <c r="A278" s="5"/>
      <c r="B278" s="88"/>
      <c r="C278" s="88"/>
    </row>
    <row r="279" ht="15.75" customHeight="1">
      <c r="A279" s="5"/>
      <c r="B279" s="88"/>
      <c r="C279" s="88"/>
    </row>
    <row r="280" ht="15.75" customHeight="1">
      <c r="A280" s="5"/>
      <c r="B280" s="88"/>
      <c r="C280" s="88"/>
    </row>
    <row r="281" ht="15.75" customHeight="1">
      <c r="A281" s="5"/>
      <c r="B281" s="88"/>
      <c r="C281" s="88"/>
    </row>
    <row r="282" ht="15.75" customHeight="1">
      <c r="A282" s="5"/>
      <c r="B282" s="88"/>
      <c r="C282" s="88"/>
    </row>
    <row r="283" ht="15.75" customHeight="1">
      <c r="A283" s="5"/>
      <c r="B283" s="88"/>
      <c r="C283" s="88"/>
    </row>
    <row r="284" ht="15.75" customHeight="1">
      <c r="A284" s="5"/>
      <c r="B284" s="88"/>
      <c r="C284" s="88"/>
    </row>
    <row r="285" ht="15.75" customHeight="1">
      <c r="A285" s="5"/>
      <c r="B285" s="88"/>
      <c r="C285" s="88"/>
    </row>
    <row r="286" ht="15.75" customHeight="1">
      <c r="A286" s="5"/>
      <c r="B286" s="88"/>
      <c r="C286" s="88"/>
    </row>
    <row r="287" ht="15.75" customHeight="1">
      <c r="A287" s="5"/>
      <c r="B287" s="88"/>
      <c r="C287" s="88"/>
    </row>
    <row r="288" ht="15.75" customHeight="1">
      <c r="A288" s="5"/>
      <c r="B288" s="88"/>
      <c r="C288" s="88"/>
    </row>
    <row r="289" ht="15.75" customHeight="1">
      <c r="A289" s="5"/>
      <c r="B289" s="88"/>
      <c r="C289" s="88"/>
    </row>
    <row r="290" ht="15.75" customHeight="1">
      <c r="A290" s="5"/>
      <c r="B290" s="88"/>
      <c r="C290" s="88"/>
    </row>
    <row r="291" ht="15.75" customHeight="1">
      <c r="A291" s="5"/>
      <c r="B291" s="88"/>
      <c r="C291" s="88"/>
    </row>
    <row r="292" ht="15.75" customHeight="1">
      <c r="A292" s="5"/>
      <c r="B292" s="88"/>
      <c r="C292" s="88"/>
    </row>
    <row r="293" ht="15.75" customHeight="1">
      <c r="A293" s="5"/>
      <c r="B293" s="88"/>
      <c r="C293" s="88"/>
    </row>
    <row r="294" ht="15.75" customHeight="1">
      <c r="A294" s="5"/>
      <c r="B294" s="88"/>
      <c r="C294" s="88"/>
    </row>
    <row r="295" ht="15.75" customHeight="1">
      <c r="A295" s="5"/>
      <c r="B295" s="88"/>
      <c r="C295" s="88"/>
    </row>
    <row r="296" ht="15.75" customHeight="1">
      <c r="A296" s="5"/>
      <c r="B296" s="88"/>
      <c r="C296" s="88"/>
    </row>
    <row r="297" ht="15.75" customHeight="1">
      <c r="A297" s="5"/>
      <c r="B297" s="88"/>
      <c r="C297" s="88"/>
    </row>
    <row r="298" ht="15.75" customHeight="1">
      <c r="A298" s="5"/>
      <c r="B298" s="88"/>
      <c r="C298" s="88"/>
    </row>
    <row r="299" ht="15.75" customHeight="1">
      <c r="A299" s="5"/>
      <c r="B299" s="88"/>
      <c r="C299" s="88"/>
    </row>
    <row r="300" ht="15.75" customHeight="1">
      <c r="A300" s="5"/>
      <c r="B300" s="88"/>
      <c r="C300" s="88"/>
    </row>
    <row r="301" ht="15.75" customHeight="1">
      <c r="A301" s="5"/>
      <c r="B301" s="88"/>
      <c r="C301" s="88"/>
    </row>
    <row r="302" ht="15.75" customHeight="1">
      <c r="A302" s="5"/>
      <c r="B302" s="88"/>
      <c r="C302" s="88"/>
    </row>
    <row r="303" ht="15.75" customHeight="1">
      <c r="A303" s="5"/>
      <c r="B303" s="88"/>
      <c r="C303" s="88"/>
    </row>
    <row r="304" ht="15.75" customHeight="1">
      <c r="A304" s="5"/>
      <c r="B304" s="88"/>
      <c r="C304" s="88"/>
    </row>
    <row r="305" ht="15.75" customHeight="1">
      <c r="A305" s="5"/>
      <c r="B305" s="88"/>
      <c r="C305" s="88"/>
    </row>
    <row r="306" ht="15.75" customHeight="1">
      <c r="A306" s="5"/>
      <c r="B306" s="88"/>
      <c r="C306" s="88"/>
    </row>
    <row r="307" ht="15.75" customHeight="1">
      <c r="A307" s="5"/>
      <c r="B307" s="88"/>
      <c r="C307" s="88"/>
    </row>
    <row r="308" ht="15.75" customHeight="1">
      <c r="A308" s="5"/>
      <c r="B308" s="88"/>
      <c r="C308" s="88"/>
    </row>
    <row r="309" ht="15.75" customHeight="1">
      <c r="A309" s="5"/>
      <c r="B309" s="88"/>
      <c r="C309" s="88"/>
    </row>
    <row r="310" ht="15.75" customHeight="1">
      <c r="A310" s="5"/>
      <c r="B310" s="88"/>
      <c r="C310" s="88"/>
    </row>
    <row r="311" ht="15.75" customHeight="1">
      <c r="A311" s="5"/>
      <c r="B311" s="88"/>
      <c r="C311" s="88"/>
    </row>
    <row r="312" ht="15.75" customHeight="1">
      <c r="A312" s="5"/>
      <c r="B312" s="88"/>
      <c r="C312" s="88"/>
    </row>
    <row r="313" ht="15.75" customHeight="1">
      <c r="A313" s="5"/>
      <c r="B313" s="88"/>
      <c r="C313" s="88"/>
    </row>
    <row r="314" ht="15.75" customHeight="1">
      <c r="A314" s="5"/>
      <c r="B314" s="88"/>
      <c r="C314" s="88"/>
    </row>
    <row r="315" ht="15.75" customHeight="1">
      <c r="A315" s="5"/>
      <c r="B315" s="88"/>
      <c r="C315" s="88"/>
    </row>
    <row r="316" ht="15.75" customHeight="1">
      <c r="A316" s="5"/>
      <c r="B316" s="88"/>
      <c r="C316" s="88"/>
    </row>
    <row r="317" ht="15.75" customHeight="1">
      <c r="A317" s="5"/>
      <c r="B317" s="88"/>
      <c r="C317" s="88"/>
    </row>
    <row r="318" ht="15.75" customHeight="1">
      <c r="A318" s="5"/>
      <c r="B318" s="88"/>
      <c r="C318" s="88"/>
    </row>
    <row r="319" ht="15.75" customHeight="1">
      <c r="A319" s="5"/>
      <c r="B319" s="88"/>
      <c r="C319" s="88"/>
    </row>
    <row r="320" ht="15.75" customHeight="1">
      <c r="A320" s="5"/>
      <c r="B320" s="88"/>
      <c r="C320" s="88"/>
    </row>
    <row r="321" ht="15.75" customHeight="1">
      <c r="A321" s="5"/>
      <c r="B321" s="88"/>
      <c r="C321" s="88"/>
    </row>
    <row r="322" ht="15.75" customHeight="1">
      <c r="A322" s="5"/>
      <c r="B322" s="88"/>
      <c r="C322" s="88"/>
    </row>
    <row r="323" ht="15.75" customHeight="1">
      <c r="A323" s="5"/>
      <c r="B323" s="88"/>
      <c r="C323" s="88"/>
    </row>
    <row r="324" ht="15.75" customHeight="1">
      <c r="A324" s="5"/>
      <c r="B324" s="88"/>
      <c r="C324" s="88"/>
    </row>
    <row r="325" ht="15.75" customHeight="1">
      <c r="A325" s="5"/>
      <c r="B325" s="88"/>
      <c r="C325" s="88"/>
    </row>
    <row r="326" ht="15.75" customHeight="1">
      <c r="A326" s="5"/>
      <c r="B326" s="88"/>
      <c r="C326" s="88"/>
    </row>
    <row r="327" ht="15.75" customHeight="1">
      <c r="A327" s="5"/>
      <c r="B327" s="88"/>
      <c r="C327" s="88"/>
    </row>
    <row r="328" ht="15.75" customHeight="1">
      <c r="A328" s="5"/>
      <c r="B328" s="88"/>
      <c r="C328" s="88"/>
    </row>
    <row r="329" ht="15.75" customHeight="1">
      <c r="A329" s="5"/>
      <c r="B329" s="88"/>
      <c r="C329" s="88"/>
    </row>
    <row r="330" ht="15.75" customHeight="1">
      <c r="A330" s="5"/>
      <c r="B330" s="88"/>
      <c r="C330" s="88"/>
    </row>
    <row r="331" ht="15.75" customHeight="1">
      <c r="A331" s="5"/>
      <c r="B331" s="88"/>
      <c r="C331" s="88"/>
    </row>
    <row r="332" ht="15.75" customHeight="1">
      <c r="A332" s="5"/>
      <c r="B332" s="88"/>
      <c r="C332" s="88"/>
    </row>
    <row r="333" ht="15.75" customHeight="1">
      <c r="A333" s="5"/>
      <c r="B333" s="88"/>
      <c r="C333" s="88"/>
    </row>
    <row r="334" ht="15.75" customHeight="1">
      <c r="A334" s="5"/>
      <c r="B334" s="88"/>
      <c r="C334" s="88"/>
    </row>
    <row r="335" ht="15.75" customHeight="1">
      <c r="A335" s="5"/>
      <c r="B335" s="88"/>
      <c r="C335" s="88"/>
    </row>
    <row r="336" ht="15.75" customHeight="1">
      <c r="A336" s="5"/>
      <c r="B336" s="88"/>
      <c r="C336" s="88"/>
    </row>
    <row r="337" ht="15.75" customHeight="1">
      <c r="A337" s="5"/>
      <c r="B337" s="88"/>
      <c r="C337" s="88"/>
    </row>
    <row r="338" ht="15.75" customHeight="1">
      <c r="A338" s="5"/>
      <c r="B338" s="88"/>
      <c r="C338" s="88"/>
    </row>
    <row r="339" ht="15.75" customHeight="1">
      <c r="A339" s="5"/>
      <c r="B339" s="88"/>
      <c r="C339" s="88"/>
    </row>
    <row r="340" ht="15.75" customHeight="1">
      <c r="A340" s="5"/>
      <c r="B340" s="88"/>
      <c r="C340" s="88"/>
    </row>
    <row r="341" ht="15.75" customHeight="1">
      <c r="A341" s="5"/>
      <c r="B341" s="88"/>
      <c r="C341" s="88"/>
    </row>
    <row r="342" ht="15.75" customHeight="1">
      <c r="A342" s="5"/>
      <c r="B342" s="88"/>
      <c r="C342" s="88"/>
    </row>
    <row r="343" ht="15.75" customHeight="1">
      <c r="A343" s="5"/>
      <c r="B343" s="88"/>
      <c r="C343" s="88"/>
    </row>
    <row r="344" ht="15.75" customHeight="1">
      <c r="A344" s="5"/>
      <c r="B344" s="88"/>
      <c r="C344" s="88"/>
    </row>
    <row r="345" ht="15.75" customHeight="1">
      <c r="A345" s="5"/>
      <c r="B345" s="88"/>
      <c r="C345" s="88"/>
    </row>
    <row r="346" ht="15.75" customHeight="1">
      <c r="A346" s="5"/>
      <c r="B346" s="88"/>
      <c r="C346" s="88"/>
    </row>
    <row r="347" ht="15.75" customHeight="1">
      <c r="A347" s="5"/>
      <c r="B347" s="88"/>
      <c r="C347" s="88"/>
    </row>
    <row r="348" ht="15.75" customHeight="1">
      <c r="A348" s="5"/>
      <c r="B348" s="88"/>
      <c r="C348" s="88"/>
    </row>
    <row r="349" ht="15.75" customHeight="1">
      <c r="A349" s="5"/>
      <c r="B349" s="88"/>
      <c r="C349" s="88"/>
    </row>
    <row r="350" ht="15.75" customHeight="1">
      <c r="A350" s="5"/>
      <c r="B350" s="88"/>
      <c r="C350" s="88"/>
    </row>
    <row r="351" ht="15.75" customHeight="1">
      <c r="A351" s="5"/>
      <c r="B351" s="88"/>
      <c r="C351" s="88"/>
    </row>
    <row r="352" ht="15.75" customHeight="1">
      <c r="A352" s="5"/>
      <c r="B352" s="88"/>
      <c r="C352" s="88"/>
    </row>
    <row r="353" ht="15.75" customHeight="1">
      <c r="A353" s="5"/>
      <c r="B353" s="88"/>
      <c r="C353" s="88"/>
    </row>
    <row r="354" ht="15.75" customHeight="1">
      <c r="A354" s="5"/>
      <c r="B354" s="88"/>
      <c r="C354" s="88"/>
    </row>
    <row r="355" ht="15.75" customHeight="1">
      <c r="A355" s="5"/>
      <c r="B355" s="88"/>
      <c r="C355" s="88"/>
    </row>
    <row r="356" ht="15.75" customHeight="1">
      <c r="A356" s="5"/>
      <c r="B356" s="88"/>
      <c r="C356" s="88"/>
    </row>
    <row r="357" ht="15.75" customHeight="1">
      <c r="A357" s="5"/>
      <c r="B357" s="88"/>
      <c r="C357" s="88"/>
    </row>
    <row r="358" ht="15.75" customHeight="1">
      <c r="A358" s="5"/>
      <c r="B358" s="88"/>
      <c r="C358" s="88"/>
    </row>
    <row r="359" ht="15.75" customHeight="1">
      <c r="A359" s="5"/>
      <c r="B359" s="88"/>
      <c r="C359" s="88"/>
    </row>
    <row r="360" ht="15.75" customHeight="1">
      <c r="A360" s="5"/>
      <c r="B360" s="88"/>
      <c r="C360" s="88"/>
    </row>
    <row r="361" ht="15.75" customHeight="1">
      <c r="A361" s="5"/>
      <c r="B361" s="88"/>
      <c r="C361" s="88"/>
    </row>
    <row r="362" ht="15.75" customHeight="1">
      <c r="A362" s="5"/>
      <c r="B362" s="88"/>
      <c r="C362" s="88"/>
    </row>
    <row r="363" ht="15.75" customHeight="1">
      <c r="A363" s="5"/>
      <c r="B363" s="88"/>
      <c r="C363" s="88"/>
    </row>
    <row r="364" ht="15.75" customHeight="1">
      <c r="A364" s="5"/>
      <c r="B364" s="88"/>
      <c r="C364" s="88"/>
    </row>
    <row r="365" ht="15.75" customHeight="1">
      <c r="A365" s="5"/>
      <c r="B365" s="88"/>
      <c r="C365" s="88"/>
    </row>
    <row r="366" ht="15.75" customHeight="1">
      <c r="A366" s="5"/>
      <c r="B366" s="88"/>
      <c r="C366" s="88"/>
    </row>
    <row r="367" ht="15.75" customHeight="1">
      <c r="A367" s="5"/>
      <c r="B367" s="88"/>
      <c r="C367" s="88"/>
    </row>
    <row r="368" ht="15.75" customHeight="1">
      <c r="A368" s="5"/>
      <c r="B368" s="88"/>
      <c r="C368" s="88"/>
    </row>
    <row r="369" ht="15.75" customHeight="1">
      <c r="A369" s="5"/>
      <c r="B369" s="88"/>
      <c r="C369" s="88"/>
    </row>
    <row r="370" ht="15.75" customHeight="1">
      <c r="A370" s="5"/>
      <c r="B370" s="88"/>
      <c r="C370" s="88"/>
    </row>
    <row r="371" ht="15.75" customHeight="1">
      <c r="A371" s="5"/>
      <c r="B371" s="88"/>
      <c r="C371" s="88"/>
    </row>
    <row r="372" ht="15.75" customHeight="1">
      <c r="A372" s="5"/>
      <c r="B372" s="88"/>
      <c r="C372" s="88"/>
    </row>
    <row r="373" ht="15.75" customHeight="1">
      <c r="A373" s="5"/>
      <c r="B373" s="88"/>
      <c r="C373" s="88"/>
    </row>
    <row r="374" ht="15.75" customHeight="1">
      <c r="A374" s="5"/>
      <c r="B374" s="88"/>
      <c r="C374" s="88"/>
    </row>
    <row r="375" ht="15.75" customHeight="1">
      <c r="A375" s="5"/>
      <c r="B375" s="88"/>
      <c r="C375" s="88"/>
    </row>
    <row r="376" ht="15.75" customHeight="1">
      <c r="A376" s="5"/>
      <c r="B376" s="88"/>
      <c r="C376" s="88"/>
    </row>
    <row r="377" ht="15.75" customHeight="1">
      <c r="A377" s="5"/>
      <c r="B377" s="88"/>
      <c r="C377" s="88"/>
    </row>
    <row r="378" ht="15.75" customHeight="1">
      <c r="A378" s="5"/>
      <c r="B378" s="88"/>
      <c r="C378" s="88"/>
    </row>
    <row r="379" ht="15.75" customHeight="1">
      <c r="A379" s="5"/>
      <c r="B379" s="88"/>
      <c r="C379" s="88"/>
    </row>
    <row r="380" ht="15.75" customHeight="1">
      <c r="A380" s="5"/>
      <c r="B380" s="88"/>
      <c r="C380" s="88"/>
    </row>
    <row r="381" ht="15.75" customHeight="1">
      <c r="A381" s="5"/>
      <c r="B381" s="88"/>
      <c r="C381" s="88"/>
    </row>
    <row r="382" ht="15.75" customHeight="1">
      <c r="A382" s="5"/>
      <c r="B382" s="88"/>
      <c r="C382" s="88"/>
    </row>
    <row r="383" ht="15.75" customHeight="1">
      <c r="A383" s="5"/>
      <c r="B383" s="88"/>
      <c r="C383" s="88"/>
    </row>
    <row r="384" ht="15.75" customHeight="1">
      <c r="A384" s="5"/>
      <c r="B384" s="88"/>
      <c r="C384" s="88"/>
    </row>
    <row r="385" ht="15.75" customHeight="1">
      <c r="A385" s="5"/>
      <c r="B385" s="88"/>
      <c r="C385" s="88"/>
    </row>
    <row r="386" ht="15.75" customHeight="1">
      <c r="A386" s="5"/>
      <c r="B386" s="88"/>
      <c r="C386" s="88"/>
    </row>
    <row r="387" ht="15.75" customHeight="1">
      <c r="A387" s="5"/>
      <c r="B387" s="88"/>
      <c r="C387" s="88"/>
    </row>
    <row r="388" ht="15.75" customHeight="1">
      <c r="A388" s="5"/>
      <c r="B388" s="88"/>
      <c r="C388" s="88"/>
    </row>
    <row r="389" ht="15.75" customHeight="1">
      <c r="A389" s="5"/>
      <c r="B389" s="88"/>
      <c r="C389" s="88"/>
    </row>
    <row r="390" ht="15.75" customHeight="1">
      <c r="A390" s="5"/>
      <c r="B390" s="88"/>
      <c r="C390" s="88"/>
    </row>
    <row r="391" ht="15.75" customHeight="1">
      <c r="A391" s="5"/>
      <c r="B391" s="88"/>
      <c r="C391" s="88"/>
    </row>
    <row r="392" ht="15.75" customHeight="1">
      <c r="A392" s="5"/>
      <c r="B392" s="88"/>
      <c r="C392" s="88"/>
    </row>
    <row r="393" ht="15.75" customHeight="1">
      <c r="A393" s="5"/>
      <c r="B393" s="88"/>
      <c r="C393" s="88"/>
    </row>
    <row r="394" ht="15.75" customHeight="1">
      <c r="A394" s="5"/>
      <c r="B394" s="88"/>
      <c r="C394" s="88"/>
    </row>
    <row r="395" ht="15.75" customHeight="1">
      <c r="A395" s="5"/>
      <c r="B395" s="88"/>
      <c r="C395" s="88"/>
    </row>
    <row r="396" ht="15.75" customHeight="1">
      <c r="A396" s="5"/>
      <c r="B396" s="88"/>
      <c r="C396" s="88"/>
    </row>
    <row r="397" ht="15.75" customHeight="1">
      <c r="A397" s="5"/>
      <c r="B397" s="88"/>
      <c r="C397" s="88"/>
    </row>
    <row r="398" ht="15.75" customHeight="1">
      <c r="A398" s="5"/>
      <c r="B398" s="88"/>
      <c r="C398" s="88"/>
    </row>
    <row r="399" ht="15.75" customHeight="1">
      <c r="A399" s="5"/>
      <c r="B399" s="88"/>
      <c r="C399" s="88"/>
    </row>
    <row r="400" ht="15.75" customHeight="1">
      <c r="A400" s="5"/>
      <c r="B400" s="88"/>
      <c r="C400" s="88"/>
    </row>
    <row r="401" ht="15.75" customHeight="1">
      <c r="A401" s="5"/>
      <c r="B401" s="88"/>
      <c r="C401" s="88"/>
    </row>
    <row r="402" ht="15.75" customHeight="1">
      <c r="A402" s="5"/>
      <c r="B402" s="88"/>
      <c r="C402" s="88"/>
    </row>
    <row r="403" ht="15.75" customHeight="1">
      <c r="A403" s="5"/>
      <c r="B403" s="88"/>
      <c r="C403" s="88"/>
    </row>
    <row r="404" ht="15.75" customHeight="1">
      <c r="A404" s="5"/>
      <c r="B404" s="88"/>
      <c r="C404" s="88"/>
    </row>
    <row r="405" ht="15.75" customHeight="1">
      <c r="A405" s="5"/>
      <c r="B405" s="88"/>
      <c r="C405" s="88"/>
    </row>
    <row r="406" ht="15.75" customHeight="1">
      <c r="A406" s="5"/>
      <c r="B406" s="88"/>
      <c r="C406" s="88"/>
    </row>
    <row r="407" ht="15.75" customHeight="1">
      <c r="A407" s="5"/>
      <c r="B407" s="88"/>
      <c r="C407" s="88"/>
    </row>
    <row r="408" ht="15.75" customHeight="1">
      <c r="A408" s="5"/>
      <c r="B408" s="88"/>
      <c r="C408" s="88"/>
    </row>
    <row r="409" ht="15.75" customHeight="1">
      <c r="A409" s="5"/>
      <c r="B409" s="88"/>
      <c r="C409" s="88"/>
    </row>
    <row r="410" ht="15.75" customHeight="1">
      <c r="A410" s="5"/>
      <c r="B410" s="88"/>
      <c r="C410" s="88"/>
    </row>
    <row r="411" ht="15.75" customHeight="1">
      <c r="A411" s="5"/>
      <c r="B411" s="88"/>
      <c r="C411" s="88"/>
    </row>
    <row r="412" ht="15.75" customHeight="1">
      <c r="A412" s="5"/>
      <c r="B412" s="88"/>
      <c r="C412" s="88"/>
    </row>
    <row r="413" ht="15.75" customHeight="1">
      <c r="A413" s="5"/>
      <c r="B413" s="88"/>
      <c r="C413" s="88"/>
    </row>
    <row r="414" ht="15.75" customHeight="1">
      <c r="A414" s="5"/>
      <c r="B414" s="88"/>
      <c r="C414" s="88"/>
    </row>
    <row r="415" ht="15.75" customHeight="1">
      <c r="A415" s="5"/>
      <c r="B415" s="88"/>
      <c r="C415" s="88"/>
    </row>
    <row r="416" ht="15.75" customHeight="1">
      <c r="A416" s="5"/>
      <c r="B416" s="88"/>
      <c r="C416" s="88"/>
    </row>
    <row r="417" ht="15.75" customHeight="1">
      <c r="A417" s="5"/>
      <c r="B417" s="88"/>
      <c r="C417" s="88"/>
    </row>
    <row r="418" ht="15.75" customHeight="1">
      <c r="A418" s="5"/>
      <c r="B418" s="88"/>
      <c r="C418" s="88"/>
    </row>
    <row r="419" ht="15.75" customHeight="1">
      <c r="A419" s="5"/>
      <c r="B419" s="88"/>
      <c r="C419" s="88"/>
    </row>
    <row r="420" ht="15.75" customHeight="1">
      <c r="A420" s="5"/>
      <c r="B420" s="88"/>
      <c r="C420" s="88"/>
    </row>
    <row r="421" ht="15.75" customHeight="1">
      <c r="A421" s="5"/>
      <c r="B421" s="88"/>
      <c r="C421" s="88"/>
    </row>
    <row r="422" ht="15.75" customHeight="1">
      <c r="A422" s="5"/>
      <c r="B422" s="88"/>
      <c r="C422" s="88"/>
    </row>
    <row r="423" ht="15.75" customHeight="1">
      <c r="A423" s="5"/>
      <c r="B423" s="88"/>
      <c r="C423" s="88"/>
    </row>
    <row r="424" ht="15.75" customHeight="1">
      <c r="A424" s="5"/>
      <c r="B424" s="88"/>
      <c r="C424" s="88"/>
    </row>
    <row r="425" ht="15.75" customHeight="1">
      <c r="A425" s="5"/>
      <c r="B425" s="88"/>
      <c r="C425" s="88"/>
    </row>
    <row r="426" ht="15.75" customHeight="1">
      <c r="A426" s="5"/>
      <c r="B426" s="88"/>
      <c r="C426" s="88"/>
    </row>
    <row r="427" ht="15.75" customHeight="1">
      <c r="A427" s="5"/>
      <c r="B427" s="88"/>
      <c r="C427" s="88"/>
    </row>
    <row r="428" ht="15.75" customHeight="1">
      <c r="A428" s="5"/>
      <c r="B428" s="88"/>
      <c r="C428" s="88"/>
    </row>
    <row r="429" ht="15.75" customHeight="1">
      <c r="A429" s="5"/>
      <c r="B429" s="88"/>
      <c r="C429" s="88"/>
    </row>
    <row r="430" ht="15.75" customHeight="1">
      <c r="A430" s="5"/>
      <c r="B430" s="88"/>
      <c r="C430" s="88"/>
    </row>
    <row r="431" ht="15.75" customHeight="1">
      <c r="A431" s="5"/>
      <c r="B431" s="88"/>
      <c r="C431" s="88"/>
    </row>
    <row r="432" ht="15.75" customHeight="1">
      <c r="A432" s="5"/>
      <c r="B432" s="88"/>
      <c r="C432" s="88"/>
    </row>
    <row r="433" ht="15.75" customHeight="1">
      <c r="A433" s="5"/>
      <c r="B433" s="88"/>
      <c r="C433" s="88"/>
    </row>
    <row r="434" ht="15.75" customHeight="1">
      <c r="A434" s="5"/>
      <c r="B434" s="88"/>
      <c r="C434" s="88"/>
    </row>
    <row r="435" ht="15.75" customHeight="1">
      <c r="A435" s="5"/>
      <c r="B435" s="88"/>
      <c r="C435" s="88"/>
    </row>
    <row r="436" ht="15.75" customHeight="1">
      <c r="A436" s="5"/>
      <c r="B436" s="88"/>
      <c r="C436" s="88"/>
    </row>
    <row r="437" ht="15.75" customHeight="1">
      <c r="A437" s="5"/>
      <c r="B437" s="88"/>
      <c r="C437" s="88"/>
    </row>
    <row r="438" ht="15.75" customHeight="1">
      <c r="A438" s="5"/>
      <c r="B438" s="88"/>
      <c r="C438" s="88"/>
    </row>
    <row r="439" ht="15.75" customHeight="1">
      <c r="A439" s="5"/>
      <c r="B439" s="88"/>
      <c r="C439" s="88"/>
    </row>
    <row r="440" ht="15.75" customHeight="1">
      <c r="A440" s="5"/>
      <c r="B440" s="88"/>
      <c r="C440" s="88"/>
    </row>
    <row r="441" ht="15.75" customHeight="1">
      <c r="A441" s="5"/>
      <c r="B441" s="88"/>
      <c r="C441" s="88"/>
    </row>
    <row r="442" ht="15.75" customHeight="1">
      <c r="A442" s="5"/>
      <c r="B442" s="88"/>
      <c r="C442" s="88"/>
    </row>
    <row r="443" ht="15.75" customHeight="1">
      <c r="A443" s="5"/>
      <c r="B443" s="88"/>
      <c r="C443" s="88"/>
    </row>
    <row r="444" ht="15.75" customHeight="1">
      <c r="A444" s="5"/>
      <c r="B444" s="88"/>
      <c r="C444" s="88"/>
    </row>
    <row r="445" ht="15.75" customHeight="1">
      <c r="A445" s="5"/>
      <c r="B445" s="88"/>
      <c r="C445" s="88"/>
    </row>
    <row r="446" ht="15.75" customHeight="1">
      <c r="A446" s="5"/>
      <c r="B446" s="88"/>
      <c r="C446" s="88"/>
    </row>
    <row r="447" ht="15.75" customHeight="1">
      <c r="A447" s="5"/>
      <c r="B447" s="88"/>
      <c r="C447" s="88"/>
    </row>
    <row r="448" ht="15.75" customHeight="1">
      <c r="A448" s="5"/>
      <c r="B448" s="88"/>
      <c r="C448" s="88"/>
    </row>
    <row r="449" ht="15.75" customHeight="1">
      <c r="A449" s="5"/>
      <c r="B449" s="88"/>
      <c r="C449" s="88"/>
    </row>
    <row r="450" ht="15.75" customHeight="1">
      <c r="A450" s="5"/>
      <c r="B450" s="88"/>
      <c r="C450" s="88"/>
    </row>
    <row r="451" ht="15.75" customHeight="1">
      <c r="A451" s="5"/>
      <c r="B451" s="88"/>
      <c r="C451" s="88"/>
    </row>
    <row r="452" ht="15.75" customHeight="1">
      <c r="A452" s="5"/>
      <c r="B452" s="88"/>
      <c r="C452" s="88"/>
    </row>
    <row r="453" ht="15.75" customHeight="1">
      <c r="A453" s="5"/>
      <c r="B453" s="88"/>
      <c r="C453" s="88"/>
    </row>
    <row r="454" ht="15.75" customHeight="1">
      <c r="A454" s="5"/>
      <c r="B454" s="88"/>
      <c r="C454" s="88"/>
    </row>
    <row r="455" ht="15.75" customHeight="1">
      <c r="A455" s="5"/>
      <c r="B455" s="88"/>
      <c r="C455" s="88"/>
    </row>
    <row r="456" ht="15.75" customHeight="1">
      <c r="A456" s="5"/>
      <c r="B456" s="88"/>
      <c r="C456" s="88"/>
    </row>
    <row r="457" ht="15.75" customHeight="1">
      <c r="A457" s="5"/>
      <c r="B457" s="88"/>
      <c r="C457" s="88"/>
    </row>
    <row r="458" ht="15.75" customHeight="1">
      <c r="A458" s="5"/>
      <c r="B458" s="88"/>
      <c r="C458" s="88"/>
    </row>
    <row r="459" ht="15.75" customHeight="1">
      <c r="A459" s="5"/>
      <c r="B459" s="88"/>
      <c r="C459" s="88"/>
    </row>
    <row r="460" ht="15.75" customHeight="1">
      <c r="A460" s="5"/>
      <c r="B460" s="88"/>
      <c r="C460" s="88"/>
    </row>
    <row r="461" ht="15.75" customHeight="1">
      <c r="A461" s="5"/>
      <c r="B461" s="88"/>
      <c r="C461" s="88"/>
    </row>
    <row r="462" ht="15.75" customHeight="1">
      <c r="A462" s="5"/>
      <c r="B462" s="88"/>
      <c r="C462" s="88"/>
    </row>
    <row r="463" ht="15.75" customHeight="1">
      <c r="A463" s="5"/>
      <c r="B463" s="88"/>
      <c r="C463" s="88"/>
    </row>
    <row r="464" ht="15.75" customHeight="1">
      <c r="A464" s="5"/>
      <c r="B464" s="88"/>
      <c r="C464" s="88"/>
    </row>
    <row r="465" ht="15.75" customHeight="1">
      <c r="A465" s="5"/>
      <c r="B465" s="88"/>
      <c r="C465" s="88"/>
    </row>
    <row r="466" ht="15.75" customHeight="1">
      <c r="A466" s="5"/>
      <c r="B466" s="88"/>
      <c r="C466" s="88"/>
    </row>
    <row r="467" ht="15.75" customHeight="1">
      <c r="A467" s="5"/>
      <c r="B467" s="88"/>
      <c r="C467" s="88"/>
    </row>
    <row r="468" ht="15.75" customHeight="1">
      <c r="A468" s="5"/>
      <c r="B468" s="88"/>
      <c r="C468" s="88"/>
    </row>
    <row r="469" ht="15.75" customHeight="1">
      <c r="A469" s="5"/>
      <c r="B469" s="88"/>
      <c r="C469" s="88"/>
    </row>
    <row r="470" ht="15.75" customHeight="1">
      <c r="A470" s="5"/>
      <c r="B470" s="88"/>
      <c r="C470" s="88"/>
    </row>
    <row r="471" ht="15.75" customHeight="1">
      <c r="A471" s="5"/>
      <c r="B471" s="88"/>
      <c r="C471" s="88"/>
    </row>
    <row r="472" ht="15.75" customHeight="1">
      <c r="A472" s="5"/>
      <c r="B472" s="88"/>
      <c r="C472" s="88"/>
    </row>
    <row r="473" ht="15.75" customHeight="1">
      <c r="A473" s="5"/>
      <c r="B473" s="88"/>
      <c r="C473" s="88"/>
    </row>
    <row r="474" ht="15.75" customHeight="1">
      <c r="A474" s="5"/>
      <c r="B474" s="88"/>
      <c r="C474" s="88"/>
    </row>
    <row r="475" ht="15.75" customHeight="1">
      <c r="A475" s="5"/>
      <c r="B475" s="88"/>
      <c r="C475" s="88"/>
    </row>
    <row r="476" ht="15.75" customHeight="1">
      <c r="A476" s="5"/>
      <c r="B476" s="88"/>
      <c r="C476" s="88"/>
    </row>
    <row r="477" ht="15.75" customHeight="1">
      <c r="A477" s="5"/>
      <c r="B477" s="88"/>
      <c r="C477" s="88"/>
    </row>
    <row r="478" ht="15.75" customHeight="1">
      <c r="A478" s="5"/>
      <c r="B478" s="88"/>
      <c r="C478" s="88"/>
    </row>
    <row r="479" ht="15.75" customHeight="1">
      <c r="A479" s="5"/>
      <c r="B479" s="88"/>
      <c r="C479" s="88"/>
    </row>
    <row r="480" ht="15.75" customHeight="1">
      <c r="A480" s="5"/>
      <c r="B480" s="88"/>
      <c r="C480" s="88"/>
    </row>
    <row r="481" ht="15.75" customHeight="1">
      <c r="A481" s="5"/>
      <c r="B481" s="88"/>
      <c r="C481" s="88"/>
    </row>
    <row r="482" ht="15.75" customHeight="1">
      <c r="A482" s="5"/>
      <c r="B482" s="88"/>
      <c r="C482" s="88"/>
    </row>
    <row r="483" ht="15.75" customHeight="1">
      <c r="A483" s="5"/>
      <c r="B483" s="88"/>
      <c r="C483" s="88"/>
    </row>
    <row r="484" ht="15.75" customHeight="1">
      <c r="A484" s="5"/>
      <c r="B484" s="88"/>
      <c r="C484" s="88"/>
    </row>
    <row r="485" ht="15.75" customHeight="1">
      <c r="A485" s="5"/>
      <c r="B485" s="88"/>
      <c r="C485" s="88"/>
    </row>
    <row r="486" ht="15.75" customHeight="1">
      <c r="A486" s="5"/>
      <c r="B486" s="88"/>
      <c r="C486" s="88"/>
    </row>
    <row r="487" ht="15.75" customHeight="1">
      <c r="A487" s="5"/>
      <c r="B487" s="88"/>
      <c r="C487" s="88"/>
    </row>
    <row r="488" ht="15.75" customHeight="1">
      <c r="A488" s="5"/>
      <c r="B488" s="88"/>
      <c r="C488" s="88"/>
    </row>
    <row r="489" ht="15.75" customHeight="1">
      <c r="A489" s="5"/>
      <c r="B489" s="88"/>
      <c r="C489" s="88"/>
    </row>
    <row r="490" ht="15.75" customHeight="1">
      <c r="A490" s="5"/>
      <c r="B490" s="88"/>
      <c r="C490" s="88"/>
    </row>
    <row r="491" ht="15.75" customHeight="1">
      <c r="A491" s="5"/>
      <c r="B491" s="88"/>
      <c r="C491" s="88"/>
    </row>
    <row r="492" ht="15.75" customHeight="1">
      <c r="A492" s="5"/>
      <c r="B492" s="88"/>
      <c r="C492" s="88"/>
    </row>
    <row r="493" ht="15.75" customHeight="1">
      <c r="A493" s="5"/>
      <c r="B493" s="88"/>
      <c r="C493" s="88"/>
    </row>
    <row r="494" ht="15.75" customHeight="1">
      <c r="A494" s="5"/>
      <c r="B494" s="88"/>
      <c r="C494" s="88"/>
    </row>
    <row r="495" ht="15.75" customHeight="1">
      <c r="A495" s="5"/>
      <c r="B495" s="88"/>
      <c r="C495" s="88"/>
    </row>
    <row r="496" ht="15.75" customHeight="1">
      <c r="A496" s="5"/>
      <c r="B496" s="88"/>
      <c r="C496" s="88"/>
    </row>
    <row r="497" ht="15.75" customHeight="1">
      <c r="A497" s="5"/>
      <c r="B497" s="88"/>
      <c r="C497" s="88"/>
    </row>
    <row r="498" ht="15.75" customHeight="1">
      <c r="A498" s="5"/>
      <c r="B498" s="88"/>
      <c r="C498" s="88"/>
    </row>
    <row r="499" ht="15.75" customHeight="1">
      <c r="A499" s="5"/>
      <c r="B499" s="88"/>
      <c r="C499" s="88"/>
    </row>
    <row r="500" ht="15.75" customHeight="1">
      <c r="A500" s="5"/>
      <c r="B500" s="88"/>
      <c r="C500" s="88"/>
    </row>
    <row r="501" ht="15.75" customHeight="1">
      <c r="A501" s="5"/>
      <c r="B501" s="88"/>
      <c r="C501" s="88"/>
    </row>
    <row r="502" ht="15.75" customHeight="1">
      <c r="A502" s="5"/>
      <c r="B502" s="88"/>
      <c r="C502" s="88"/>
    </row>
    <row r="503" ht="15.75" customHeight="1">
      <c r="A503" s="5"/>
      <c r="B503" s="88"/>
      <c r="C503" s="88"/>
    </row>
    <row r="504" ht="15.75" customHeight="1">
      <c r="A504" s="5"/>
      <c r="B504" s="88"/>
      <c r="C504" s="88"/>
    </row>
    <row r="505" ht="15.75" customHeight="1">
      <c r="A505" s="5"/>
      <c r="B505" s="88"/>
      <c r="C505" s="88"/>
    </row>
    <row r="506" ht="15.75" customHeight="1">
      <c r="A506" s="5"/>
      <c r="B506" s="88"/>
      <c r="C506" s="88"/>
    </row>
    <row r="507" ht="15.75" customHeight="1">
      <c r="A507" s="5"/>
      <c r="B507" s="88"/>
      <c r="C507" s="88"/>
    </row>
    <row r="508" ht="15.75" customHeight="1">
      <c r="A508" s="5"/>
      <c r="B508" s="88"/>
      <c r="C508" s="88"/>
    </row>
    <row r="509" ht="15.75" customHeight="1">
      <c r="A509" s="5"/>
      <c r="B509" s="88"/>
      <c r="C509" s="88"/>
    </row>
    <row r="510" ht="15.75" customHeight="1">
      <c r="A510" s="5"/>
      <c r="B510" s="88"/>
      <c r="C510" s="88"/>
    </row>
    <row r="511" ht="15.75" customHeight="1">
      <c r="A511" s="5"/>
      <c r="B511" s="88"/>
      <c r="C511" s="88"/>
    </row>
    <row r="512" ht="15.75" customHeight="1">
      <c r="A512" s="5"/>
      <c r="B512" s="88"/>
      <c r="C512" s="88"/>
    </row>
    <row r="513" ht="15.75" customHeight="1">
      <c r="A513" s="5"/>
      <c r="B513" s="88"/>
      <c r="C513" s="88"/>
    </row>
    <row r="514" ht="15.75" customHeight="1">
      <c r="A514" s="5"/>
      <c r="B514" s="88"/>
      <c r="C514" s="88"/>
    </row>
    <row r="515" ht="15.75" customHeight="1">
      <c r="A515" s="5"/>
      <c r="B515" s="88"/>
      <c r="C515" s="88"/>
    </row>
    <row r="516" ht="15.75" customHeight="1">
      <c r="A516" s="5"/>
      <c r="B516" s="88"/>
      <c r="C516" s="88"/>
    </row>
    <row r="517" ht="15.75" customHeight="1">
      <c r="A517" s="5"/>
      <c r="B517" s="88"/>
      <c r="C517" s="88"/>
    </row>
    <row r="518" ht="15.75" customHeight="1">
      <c r="A518" s="5"/>
      <c r="B518" s="88"/>
      <c r="C518" s="88"/>
    </row>
    <row r="519" ht="15.75" customHeight="1">
      <c r="A519" s="5"/>
      <c r="B519" s="88"/>
      <c r="C519" s="88"/>
    </row>
    <row r="520" ht="15.75" customHeight="1">
      <c r="A520" s="5"/>
      <c r="B520" s="88"/>
      <c r="C520" s="88"/>
    </row>
    <row r="521" ht="15.75" customHeight="1">
      <c r="A521" s="5"/>
      <c r="B521" s="88"/>
      <c r="C521" s="88"/>
    </row>
    <row r="522" ht="15.75" customHeight="1">
      <c r="A522" s="5"/>
      <c r="B522" s="88"/>
      <c r="C522" s="88"/>
    </row>
    <row r="523" ht="15.75" customHeight="1">
      <c r="A523" s="5"/>
      <c r="B523" s="88"/>
      <c r="C523" s="88"/>
    </row>
    <row r="524" ht="15.75" customHeight="1">
      <c r="A524" s="5"/>
      <c r="B524" s="88"/>
      <c r="C524" s="88"/>
    </row>
    <row r="525" ht="15.75" customHeight="1">
      <c r="A525" s="5"/>
      <c r="B525" s="88"/>
      <c r="C525" s="88"/>
    </row>
    <row r="526" ht="15.75" customHeight="1">
      <c r="A526" s="5"/>
      <c r="B526" s="88"/>
      <c r="C526" s="88"/>
    </row>
    <row r="527" ht="15.75" customHeight="1">
      <c r="A527" s="5"/>
      <c r="B527" s="88"/>
      <c r="C527" s="88"/>
    </row>
    <row r="528" ht="15.75" customHeight="1">
      <c r="A528" s="5"/>
      <c r="B528" s="88"/>
      <c r="C528" s="88"/>
    </row>
    <row r="529" ht="15.75" customHeight="1">
      <c r="A529" s="5"/>
      <c r="B529" s="88"/>
      <c r="C529" s="88"/>
    </row>
    <row r="530" ht="15.75" customHeight="1">
      <c r="A530" s="5"/>
      <c r="B530" s="88"/>
      <c r="C530" s="88"/>
    </row>
    <row r="531" ht="15.75" customHeight="1">
      <c r="A531" s="5"/>
      <c r="B531" s="88"/>
      <c r="C531" s="88"/>
    </row>
    <row r="532" ht="15.75" customHeight="1">
      <c r="A532" s="5"/>
      <c r="B532" s="88"/>
      <c r="C532" s="88"/>
    </row>
    <row r="533" ht="15.75" customHeight="1">
      <c r="A533" s="5"/>
      <c r="B533" s="88"/>
      <c r="C533" s="88"/>
    </row>
    <row r="534" ht="15.75" customHeight="1">
      <c r="A534" s="5"/>
      <c r="B534" s="88"/>
      <c r="C534" s="88"/>
    </row>
    <row r="535" ht="15.75" customHeight="1">
      <c r="A535" s="5"/>
      <c r="B535" s="88"/>
      <c r="C535" s="88"/>
    </row>
    <row r="536" ht="15.75" customHeight="1">
      <c r="A536" s="5"/>
      <c r="B536" s="88"/>
      <c r="C536" s="88"/>
    </row>
    <row r="537" ht="15.75" customHeight="1">
      <c r="A537" s="5"/>
      <c r="B537" s="88"/>
      <c r="C537" s="88"/>
    </row>
    <row r="538" ht="15.75" customHeight="1">
      <c r="A538" s="5"/>
      <c r="B538" s="88"/>
      <c r="C538" s="88"/>
    </row>
    <row r="539" ht="15.75" customHeight="1">
      <c r="A539" s="5"/>
      <c r="B539" s="88"/>
      <c r="C539" s="88"/>
    </row>
    <row r="540" ht="15.75" customHeight="1">
      <c r="A540" s="5"/>
      <c r="B540" s="88"/>
      <c r="C540" s="88"/>
    </row>
    <row r="541" ht="15.75" customHeight="1">
      <c r="A541" s="5"/>
      <c r="B541" s="88"/>
      <c r="C541" s="88"/>
    </row>
    <row r="542" ht="15.75" customHeight="1">
      <c r="A542" s="5"/>
      <c r="B542" s="88"/>
      <c r="C542" s="88"/>
    </row>
    <row r="543" ht="15.75" customHeight="1">
      <c r="A543" s="5"/>
      <c r="B543" s="88"/>
      <c r="C543" s="88"/>
    </row>
    <row r="544" ht="15.75" customHeight="1">
      <c r="A544" s="5"/>
      <c r="B544" s="88"/>
      <c r="C544" s="88"/>
    </row>
    <row r="545" ht="15.75" customHeight="1">
      <c r="A545" s="5"/>
      <c r="B545" s="88"/>
      <c r="C545" s="88"/>
    </row>
    <row r="546" ht="15.75" customHeight="1">
      <c r="A546" s="5"/>
      <c r="B546" s="88"/>
      <c r="C546" s="88"/>
    </row>
    <row r="547" ht="15.75" customHeight="1">
      <c r="A547" s="5"/>
      <c r="B547" s="88"/>
      <c r="C547" s="88"/>
    </row>
    <row r="548" ht="15.75" customHeight="1">
      <c r="A548" s="5"/>
      <c r="B548" s="88"/>
      <c r="C548" s="88"/>
    </row>
    <row r="549" ht="15.75" customHeight="1">
      <c r="A549" s="5"/>
      <c r="B549" s="88"/>
      <c r="C549" s="88"/>
    </row>
    <row r="550" ht="15.75" customHeight="1">
      <c r="A550" s="5"/>
      <c r="B550" s="88"/>
      <c r="C550" s="88"/>
    </row>
    <row r="551" ht="15.75" customHeight="1">
      <c r="A551" s="5"/>
      <c r="B551" s="88"/>
      <c r="C551" s="88"/>
    </row>
    <row r="552" ht="15.75" customHeight="1">
      <c r="A552" s="5"/>
      <c r="B552" s="88"/>
      <c r="C552" s="88"/>
    </row>
    <row r="553" ht="15.75" customHeight="1">
      <c r="A553" s="5"/>
      <c r="B553" s="88"/>
      <c r="C553" s="88"/>
    </row>
    <row r="554" ht="15.75" customHeight="1">
      <c r="A554" s="5"/>
      <c r="B554" s="88"/>
      <c r="C554" s="88"/>
    </row>
    <row r="555" ht="15.75" customHeight="1">
      <c r="A555" s="5"/>
      <c r="B555" s="88"/>
      <c r="C555" s="88"/>
    </row>
    <row r="556" ht="15.75" customHeight="1">
      <c r="A556" s="5"/>
      <c r="B556" s="88"/>
      <c r="C556" s="88"/>
    </row>
    <row r="557" ht="15.75" customHeight="1">
      <c r="A557" s="5"/>
      <c r="B557" s="88"/>
      <c r="C557" s="88"/>
    </row>
    <row r="558" ht="15.75" customHeight="1">
      <c r="A558" s="5"/>
      <c r="B558" s="88"/>
      <c r="C558" s="88"/>
    </row>
    <row r="559" ht="15.75" customHeight="1">
      <c r="A559" s="5"/>
      <c r="B559" s="88"/>
      <c r="C559" s="88"/>
    </row>
    <row r="560" ht="15.75" customHeight="1">
      <c r="A560" s="5"/>
      <c r="B560" s="88"/>
      <c r="C560" s="88"/>
    </row>
    <row r="561" ht="15.75" customHeight="1">
      <c r="A561" s="5"/>
      <c r="B561" s="88"/>
      <c r="C561" s="88"/>
    </row>
    <row r="562" ht="15.75" customHeight="1">
      <c r="A562" s="5"/>
      <c r="B562" s="88"/>
      <c r="C562" s="88"/>
    </row>
    <row r="563" ht="15.75" customHeight="1">
      <c r="A563" s="5"/>
      <c r="B563" s="88"/>
      <c r="C563" s="88"/>
    </row>
    <row r="564" ht="15.75" customHeight="1">
      <c r="A564" s="5"/>
      <c r="B564" s="88"/>
      <c r="C564" s="88"/>
    </row>
    <row r="565" ht="15.75" customHeight="1">
      <c r="A565" s="5"/>
      <c r="B565" s="88"/>
      <c r="C565" s="88"/>
    </row>
    <row r="566" ht="15.75" customHeight="1">
      <c r="A566" s="5"/>
      <c r="B566" s="88"/>
      <c r="C566" s="88"/>
    </row>
    <row r="567" ht="15.75" customHeight="1">
      <c r="A567" s="5"/>
      <c r="B567" s="88"/>
      <c r="C567" s="88"/>
    </row>
    <row r="568" ht="15.75" customHeight="1">
      <c r="A568" s="5"/>
      <c r="B568" s="88"/>
      <c r="C568" s="88"/>
    </row>
    <row r="569" ht="15.75" customHeight="1">
      <c r="A569" s="5"/>
      <c r="B569" s="88"/>
      <c r="C569" s="88"/>
    </row>
    <row r="570" ht="15.75" customHeight="1">
      <c r="A570" s="5"/>
      <c r="B570" s="88"/>
      <c r="C570" s="88"/>
    </row>
    <row r="571" ht="15.75" customHeight="1">
      <c r="A571" s="5"/>
      <c r="B571" s="88"/>
      <c r="C571" s="88"/>
    </row>
    <row r="572" ht="15.75" customHeight="1">
      <c r="A572" s="5"/>
      <c r="B572" s="88"/>
      <c r="C572" s="88"/>
    </row>
    <row r="573" ht="15.75" customHeight="1">
      <c r="A573" s="5"/>
      <c r="B573" s="88"/>
      <c r="C573" s="88"/>
    </row>
    <row r="574" ht="15.75" customHeight="1">
      <c r="A574" s="5"/>
      <c r="B574" s="88"/>
      <c r="C574" s="88"/>
    </row>
    <row r="575" ht="15.75" customHeight="1">
      <c r="A575" s="5"/>
      <c r="B575" s="88"/>
      <c r="C575" s="88"/>
    </row>
    <row r="576" ht="15.75" customHeight="1">
      <c r="A576" s="5"/>
      <c r="B576" s="88"/>
      <c r="C576" s="88"/>
    </row>
    <row r="577" ht="15.75" customHeight="1">
      <c r="A577" s="5"/>
      <c r="B577" s="88"/>
      <c r="C577" s="88"/>
    </row>
    <row r="578" ht="15.75" customHeight="1">
      <c r="A578" s="5"/>
      <c r="B578" s="88"/>
      <c r="C578" s="88"/>
    </row>
    <row r="579" ht="15.75" customHeight="1">
      <c r="A579" s="5"/>
      <c r="B579" s="88"/>
      <c r="C579" s="88"/>
    </row>
    <row r="580" ht="15.75" customHeight="1">
      <c r="A580" s="5"/>
      <c r="B580" s="88"/>
      <c r="C580" s="88"/>
    </row>
    <row r="581" ht="15.75" customHeight="1">
      <c r="A581" s="5"/>
      <c r="B581" s="88"/>
      <c r="C581" s="88"/>
    </row>
    <row r="582" ht="15.75" customHeight="1">
      <c r="A582" s="5"/>
      <c r="B582" s="88"/>
      <c r="C582" s="88"/>
    </row>
    <row r="583" ht="15.75" customHeight="1">
      <c r="A583" s="5"/>
      <c r="B583" s="88"/>
      <c r="C583" s="88"/>
    </row>
    <row r="584" ht="15.75" customHeight="1">
      <c r="A584" s="5"/>
      <c r="B584" s="88"/>
      <c r="C584" s="88"/>
    </row>
    <row r="585" ht="15.75" customHeight="1">
      <c r="A585" s="5"/>
      <c r="B585" s="88"/>
      <c r="C585" s="88"/>
    </row>
    <row r="586" ht="15.75" customHeight="1">
      <c r="A586" s="5"/>
      <c r="B586" s="88"/>
      <c r="C586" s="88"/>
    </row>
    <row r="587" ht="15.75" customHeight="1">
      <c r="A587" s="5"/>
      <c r="B587" s="88"/>
      <c r="C587" s="88"/>
    </row>
    <row r="588" ht="15.75" customHeight="1">
      <c r="A588" s="5"/>
      <c r="B588" s="88"/>
      <c r="C588" s="88"/>
    </row>
    <row r="589" ht="15.75" customHeight="1">
      <c r="A589" s="5"/>
      <c r="B589" s="88"/>
      <c r="C589" s="88"/>
    </row>
    <row r="590" ht="15.75" customHeight="1">
      <c r="A590" s="5"/>
      <c r="B590" s="88"/>
      <c r="C590" s="88"/>
    </row>
    <row r="591" ht="15.75" customHeight="1">
      <c r="A591" s="5"/>
      <c r="B591" s="88"/>
      <c r="C591" s="88"/>
    </row>
    <row r="592" ht="15.75" customHeight="1">
      <c r="A592" s="5"/>
      <c r="B592" s="88"/>
      <c r="C592" s="88"/>
    </row>
    <row r="593" ht="15.75" customHeight="1">
      <c r="A593" s="5"/>
      <c r="B593" s="88"/>
      <c r="C593" s="88"/>
    </row>
    <row r="594" ht="15.75" customHeight="1">
      <c r="A594" s="5"/>
      <c r="B594" s="88"/>
      <c r="C594" s="88"/>
    </row>
    <row r="595" ht="15.75" customHeight="1">
      <c r="A595" s="5"/>
      <c r="B595" s="88"/>
      <c r="C595" s="88"/>
    </row>
    <row r="596" ht="15.75" customHeight="1">
      <c r="A596" s="5"/>
      <c r="B596" s="88"/>
      <c r="C596" s="88"/>
    </row>
    <row r="597" ht="15.75" customHeight="1">
      <c r="A597" s="5"/>
      <c r="B597" s="88"/>
      <c r="C597" s="88"/>
    </row>
    <row r="598" ht="15.75" customHeight="1">
      <c r="A598" s="5"/>
      <c r="B598" s="88"/>
      <c r="C598" s="88"/>
    </row>
    <row r="599" ht="15.75" customHeight="1">
      <c r="A599" s="5"/>
      <c r="B599" s="88"/>
      <c r="C599" s="88"/>
    </row>
    <row r="600" ht="15.75" customHeight="1">
      <c r="A600" s="5"/>
      <c r="B600" s="88"/>
      <c r="C600" s="88"/>
    </row>
    <row r="601" ht="15.75" customHeight="1">
      <c r="A601" s="5"/>
      <c r="B601" s="88"/>
      <c r="C601" s="88"/>
    </row>
    <row r="602" ht="15.75" customHeight="1">
      <c r="A602" s="5"/>
      <c r="B602" s="88"/>
      <c r="C602" s="88"/>
    </row>
    <row r="603" ht="15.75" customHeight="1">
      <c r="A603" s="5"/>
      <c r="B603" s="88"/>
      <c r="C603" s="88"/>
    </row>
    <row r="604" ht="15.75" customHeight="1">
      <c r="A604" s="5"/>
      <c r="B604" s="88"/>
      <c r="C604" s="88"/>
    </row>
    <row r="605" ht="15.75" customHeight="1">
      <c r="A605" s="5"/>
      <c r="B605" s="88"/>
      <c r="C605" s="88"/>
    </row>
    <row r="606" ht="15.75" customHeight="1">
      <c r="A606" s="5"/>
      <c r="B606" s="88"/>
      <c r="C606" s="88"/>
    </row>
    <row r="607" ht="15.75" customHeight="1">
      <c r="A607" s="5"/>
      <c r="B607" s="88"/>
      <c r="C607" s="88"/>
    </row>
    <row r="608" ht="15.75" customHeight="1">
      <c r="A608" s="5"/>
      <c r="B608" s="88"/>
      <c r="C608" s="88"/>
    </row>
    <row r="609" ht="15.75" customHeight="1">
      <c r="A609" s="5"/>
      <c r="B609" s="88"/>
      <c r="C609" s="88"/>
    </row>
    <row r="610" ht="15.75" customHeight="1">
      <c r="A610" s="5"/>
      <c r="B610" s="88"/>
      <c r="C610" s="88"/>
    </row>
    <row r="611" ht="15.75" customHeight="1">
      <c r="A611" s="5"/>
      <c r="B611" s="88"/>
      <c r="C611" s="88"/>
    </row>
    <row r="612" ht="15.75" customHeight="1">
      <c r="A612" s="5"/>
      <c r="B612" s="88"/>
      <c r="C612" s="88"/>
    </row>
    <row r="613" ht="15.75" customHeight="1">
      <c r="A613" s="5"/>
      <c r="B613" s="88"/>
      <c r="C613" s="88"/>
    </row>
    <row r="614" ht="15.75" customHeight="1">
      <c r="A614" s="5"/>
      <c r="B614" s="88"/>
      <c r="C614" s="88"/>
    </row>
    <row r="615" ht="15.75" customHeight="1">
      <c r="A615" s="5"/>
      <c r="B615" s="88"/>
      <c r="C615" s="88"/>
    </row>
    <row r="616" ht="15.75" customHeight="1">
      <c r="A616" s="5"/>
      <c r="B616" s="88"/>
      <c r="C616" s="88"/>
    </row>
    <row r="617" ht="15.75" customHeight="1">
      <c r="A617" s="5"/>
      <c r="B617" s="88"/>
      <c r="C617" s="88"/>
    </row>
    <row r="618" ht="15.75" customHeight="1">
      <c r="A618" s="5"/>
      <c r="B618" s="88"/>
      <c r="C618" s="88"/>
    </row>
    <row r="619" ht="15.75" customHeight="1">
      <c r="A619" s="5"/>
      <c r="B619" s="88"/>
      <c r="C619" s="88"/>
    </row>
    <row r="620" ht="15.75" customHeight="1">
      <c r="A620" s="5"/>
      <c r="B620" s="88"/>
      <c r="C620" s="88"/>
    </row>
    <row r="621" ht="15.75" customHeight="1">
      <c r="A621" s="5"/>
      <c r="B621" s="88"/>
      <c r="C621" s="88"/>
    </row>
    <row r="622" ht="15.75" customHeight="1">
      <c r="A622" s="5"/>
      <c r="B622" s="88"/>
      <c r="C622" s="88"/>
    </row>
    <row r="623" ht="15.75" customHeight="1">
      <c r="A623" s="5"/>
      <c r="B623" s="88"/>
      <c r="C623" s="88"/>
    </row>
    <row r="624" ht="15.75" customHeight="1">
      <c r="A624" s="5"/>
      <c r="B624" s="88"/>
      <c r="C624" s="88"/>
    </row>
    <row r="625" ht="15.75" customHeight="1">
      <c r="A625" s="5"/>
      <c r="B625" s="88"/>
      <c r="C625" s="88"/>
    </row>
    <row r="626" ht="15.75" customHeight="1">
      <c r="A626" s="5"/>
      <c r="B626" s="88"/>
      <c r="C626" s="88"/>
    </row>
    <row r="627" ht="15.75" customHeight="1">
      <c r="A627" s="5"/>
      <c r="B627" s="88"/>
      <c r="C627" s="88"/>
    </row>
    <row r="628" ht="15.75" customHeight="1">
      <c r="A628" s="5"/>
      <c r="B628" s="88"/>
      <c r="C628" s="88"/>
    </row>
    <row r="629" ht="15.75" customHeight="1">
      <c r="A629" s="5"/>
      <c r="B629" s="88"/>
      <c r="C629" s="88"/>
    </row>
    <row r="630" ht="15.75" customHeight="1">
      <c r="A630" s="5"/>
      <c r="B630" s="88"/>
      <c r="C630" s="88"/>
    </row>
    <row r="631" ht="15.75" customHeight="1">
      <c r="A631" s="5"/>
      <c r="B631" s="88"/>
      <c r="C631" s="88"/>
    </row>
    <row r="632" ht="15.75" customHeight="1">
      <c r="A632" s="5"/>
      <c r="B632" s="88"/>
      <c r="C632" s="88"/>
    </row>
    <row r="633" ht="15.75" customHeight="1">
      <c r="A633" s="5"/>
      <c r="B633" s="88"/>
      <c r="C633" s="88"/>
    </row>
    <row r="634" ht="15.75" customHeight="1">
      <c r="A634" s="5"/>
      <c r="B634" s="88"/>
      <c r="C634" s="88"/>
    </row>
    <row r="635" ht="15.75" customHeight="1">
      <c r="A635" s="5"/>
      <c r="B635" s="88"/>
      <c r="C635" s="88"/>
    </row>
    <row r="636" ht="15.75" customHeight="1">
      <c r="A636" s="5"/>
      <c r="B636" s="88"/>
      <c r="C636" s="88"/>
    </row>
    <row r="637" ht="15.75" customHeight="1">
      <c r="A637" s="5"/>
      <c r="B637" s="88"/>
      <c r="C637" s="88"/>
    </row>
    <row r="638" ht="15.75" customHeight="1">
      <c r="A638" s="5"/>
      <c r="B638" s="88"/>
      <c r="C638" s="88"/>
    </row>
    <row r="639" ht="15.75" customHeight="1">
      <c r="A639" s="5"/>
      <c r="B639" s="88"/>
      <c r="C639" s="88"/>
    </row>
    <row r="640" ht="15.75" customHeight="1">
      <c r="A640" s="5"/>
      <c r="B640" s="88"/>
      <c r="C640" s="88"/>
    </row>
    <row r="641" ht="15.75" customHeight="1">
      <c r="A641" s="5"/>
      <c r="B641" s="88"/>
      <c r="C641" s="88"/>
    </row>
    <row r="642" ht="15.75" customHeight="1">
      <c r="A642" s="5"/>
      <c r="B642" s="88"/>
      <c r="C642" s="88"/>
    </row>
    <row r="643" ht="15.75" customHeight="1">
      <c r="A643" s="5"/>
      <c r="B643" s="88"/>
      <c r="C643" s="88"/>
    </row>
    <row r="644" ht="15.75" customHeight="1">
      <c r="A644" s="5"/>
      <c r="B644" s="88"/>
      <c r="C644" s="88"/>
    </row>
    <row r="645" ht="15.75" customHeight="1">
      <c r="A645" s="5"/>
      <c r="B645" s="88"/>
      <c r="C645" s="88"/>
    </row>
    <row r="646" ht="15.75" customHeight="1">
      <c r="A646" s="5"/>
      <c r="B646" s="88"/>
      <c r="C646" s="88"/>
    </row>
    <row r="647" ht="15.75" customHeight="1">
      <c r="A647" s="5"/>
      <c r="B647" s="88"/>
      <c r="C647" s="88"/>
    </row>
    <row r="648" ht="15.75" customHeight="1">
      <c r="A648" s="5"/>
      <c r="B648" s="88"/>
      <c r="C648" s="88"/>
    </row>
    <row r="649" ht="15.75" customHeight="1">
      <c r="A649" s="5"/>
      <c r="B649" s="88"/>
      <c r="C649" s="88"/>
    </row>
    <row r="650" ht="15.75" customHeight="1">
      <c r="A650" s="5"/>
      <c r="B650" s="88"/>
      <c r="C650" s="88"/>
    </row>
    <row r="651" ht="15.75" customHeight="1">
      <c r="A651" s="5"/>
      <c r="B651" s="88"/>
      <c r="C651" s="88"/>
    </row>
    <row r="652" ht="15.75" customHeight="1">
      <c r="A652" s="5"/>
      <c r="B652" s="88"/>
      <c r="C652" s="88"/>
    </row>
    <row r="653" ht="15.75" customHeight="1">
      <c r="A653" s="5"/>
      <c r="B653" s="88"/>
      <c r="C653" s="88"/>
    </row>
    <row r="654" ht="15.75" customHeight="1">
      <c r="A654" s="5"/>
      <c r="B654" s="88"/>
      <c r="C654" s="88"/>
    </row>
    <row r="655" ht="15.75" customHeight="1">
      <c r="A655" s="5"/>
      <c r="B655" s="88"/>
      <c r="C655" s="88"/>
    </row>
    <row r="656" ht="15.75" customHeight="1">
      <c r="A656" s="5"/>
      <c r="B656" s="88"/>
      <c r="C656" s="88"/>
    </row>
    <row r="657" ht="15.75" customHeight="1">
      <c r="A657" s="5"/>
      <c r="B657" s="88"/>
      <c r="C657" s="88"/>
    </row>
    <row r="658" ht="15.75" customHeight="1">
      <c r="A658" s="5"/>
      <c r="B658" s="88"/>
      <c r="C658" s="88"/>
    </row>
    <row r="659" ht="15.75" customHeight="1">
      <c r="A659" s="5"/>
      <c r="B659" s="88"/>
      <c r="C659" s="88"/>
    </row>
    <row r="660" ht="15.75" customHeight="1">
      <c r="A660" s="5"/>
      <c r="B660" s="88"/>
      <c r="C660" s="88"/>
    </row>
    <row r="661" ht="15.75" customHeight="1">
      <c r="A661" s="5"/>
      <c r="B661" s="88"/>
      <c r="C661" s="88"/>
    </row>
    <row r="662" ht="15.75" customHeight="1">
      <c r="A662" s="5"/>
      <c r="B662" s="88"/>
      <c r="C662" s="88"/>
    </row>
    <row r="663" ht="15.75" customHeight="1">
      <c r="A663" s="5"/>
      <c r="B663" s="88"/>
      <c r="C663" s="88"/>
    </row>
    <row r="664" ht="15.75" customHeight="1">
      <c r="A664" s="5"/>
      <c r="B664" s="88"/>
      <c r="C664" s="88"/>
    </row>
    <row r="665" ht="15.75" customHeight="1">
      <c r="A665" s="5"/>
      <c r="B665" s="88"/>
      <c r="C665" s="88"/>
    </row>
    <row r="666" ht="15.75" customHeight="1">
      <c r="A666" s="5"/>
      <c r="B666" s="88"/>
      <c r="C666" s="88"/>
    </row>
    <row r="667" ht="15.75" customHeight="1">
      <c r="A667" s="5"/>
      <c r="B667" s="88"/>
      <c r="C667" s="88"/>
    </row>
    <row r="668" ht="15.75" customHeight="1">
      <c r="A668" s="5"/>
      <c r="B668" s="88"/>
      <c r="C668" s="88"/>
    </row>
    <row r="669" ht="15.75" customHeight="1">
      <c r="A669" s="5"/>
      <c r="B669" s="88"/>
      <c r="C669" s="88"/>
    </row>
    <row r="670" ht="15.75" customHeight="1">
      <c r="A670" s="5"/>
      <c r="B670" s="88"/>
      <c r="C670" s="88"/>
    </row>
    <row r="671" ht="15.75" customHeight="1">
      <c r="A671" s="5"/>
      <c r="B671" s="88"/>
      <c r="C671" s="88"/>
    </row>
    <row r="672" ht="15.75" customHeight="1">
      <c r="A672" s="5"/>
      <c r="B672" s="88"/>
      <c r="C672" s="88"/>
    </row>
    <row r="673" ht="15.75" customHeight="1">
      <c r="A673" s="5"/>
      <c r="B673" s="88"/>
      <c r="C673" s="88"/>
    </row>
    <row r="674" ht="15.75" customHeight="1">
      <c r="A674" s="5"/>
      <c r="B674" s="88"/>
      <c r="C674" s="88"/>
    </row>
    <row r="675" ht="15.75" customHeight="1">
      <c r="A675" s="5"/>
      <c r="B675" s="88"/>
      <c r="C675" s="88"/>
    </row>
    <row r="676" ht="15.75" customHeight="1">
      <c r="A676" s="5"/>
      <c r="B676" s="88"/>
      <c r="C676" s="88"/>
    </row>
    <row r="677" ht="15.75" customHeight="1">
      <c r="A677" s="5"/>
      <c r="B677" s="88"/>
      <c r="C677" s="88"/>
    </row>
    <row r="678" ht="15.75" customHeight="1">
      <c r="A678" s="5"/>
      <c r="B678" s="88"/>
      <c r="C678" s="88"/>
    </row>
    <row r="679" ht="15.75" customHeight="1">
      <c r="A679" s="5"/>
      <c r="B679" s="88"/>
      <c r="C679" s="88"/>
    </row>
    <row r="680" ht="15.75" customHeight="1">
      <c r="A680" s="5"/>
      <c r="B680" s="88"/>
      <c r="C680" s="88"/>
    </row>
    <row r="681" ht="15.75" customHeight="1">
      <c r="A681" s="5"/>
      <c r="B681" s="88"/>
      <c r="C681" s="88"/>
    </row>
    <row r="682" ht="15.75" customHeight="1">
      <c r="A682" s="5"/>
      <c r="B682" s="88"/>
      <c r="C682" s="88"/>
    </row>
    <row r="683" ht="15.75" customHeight="1">
      <c r="A683" s="5"/>
      <c r="B683" s="88"/>
      <c r="C683" s="88"/>
    </row>
    <row r="684" ht="15.75" customHeight="1">
      <c r="A684" s="5"/>
      <c r="B684" s="88"/>
      <c r="C684" s="88"/>
    </row>
    <row r="685" ht="15.75" customHeight="1">
      <c r="A685" s="5"/>
      <c r="B685" s="88"/>
      <c r="C685" s="88"/>
    </row>
    <row r="686" ht="15.75" customHeight="1">
      <c r="A686" s="5"/>
      <c r="B686" s="88"/>
      <c r="C686" s="88"/>
    </row>
    <row r="687" ht="15.75" customHeight="1">
      <c r="A687" s="5"/>
      <c r="B687" s="88"/>
      <c r="C687" s="88"/>
    </row>
    <row r="688" ht="15.75" customHeight="1">
      <c r="A688" s="5"/>
      <c r="B688" s="88"/>
      <c r="C688" s="88"/>
    </row>
    <row r="689" ht="15.75" customHeight="1">
      <c r="A689" s="5"/>
      <c r="B689" s="88"/>
      <c r="C689" s="88"/>
    </row>
    <row r="690" ht="15.75" customHeight="1">
      <c r="A690" s="5"/>
      <c r="B690" s="88"/>
      <c r="C690" s="88"/>
    </row>
    <row r="691" ht="15.75" customHeight="1">
      <c r="A691" s="5"/>
      <c r="B691" s="88"/>
      <c r="C691" s="88"/>
    </row>
    <row r="692" ht="15.75" customHeight="1">
      <c r="A692" s="5"/>
      <c r="B692" s="88"/>
      <c r="C692" s="88"/>
    </row>
    <row r="693" ht="15.75" customHeight="1">
      <c r="A693" s="5"/>
      <c r="B693" s="88"/>
      <c r="C693" s="88"/>
    </row>
    <row r="694" ht="15.75" customHeight="1">
      <c r="A694" s="5"/>
      <c r="B694" s="88"/>
      <c r="C694" s="88"/>
    </row>
    <row r="695" ht="15.75" customHeight="1">
      <c r="A695" s="5"/>
      <c r="B695" s="88"/>
      <c r="C695" s="88"/>
    </row>
    <row r="696" ht="15.75" customHeight="1">
      <c r="A696" s="5"/>
      <c r="B696" s="88"/>
      <c r="C696" s="88"/>
    </row>
    <row r="697" ht="15.75" customHeight="1">
      <c r="A697" s="5"/>
      <c r="B697" s="88"/>
      <c r="C697" s="88"/>
    </row>
    <row r="698" ht="15.75" customHeight="1">
      <c r="A698" s="5"/>
      <c r="B698" s="88"/>
      <c r="C698" s="88"/>
    </row>
    <row r="699" ht="15.75" customHeight="1">
      <c r="A699" s="5"/>
      <c r="B699" s="88"/>
      <c r="C699" s="88"/>
    </row>
    <row r="700" ht="15.75" customHeight="1">
      <c r="A700" s="5"/>
      <c r="B700" s="88"/>
      <c r="C700" s="88"/>
    </row>
    <row r="701" ht="15.75" customHeight="1">
      <c r="A701" s="5"/>
      <c r="B701" s="88"/>
      <c r="C701" s="88"/>
    </row>
    <row r="702" ht="15.75" customHeight="1">
      <c r="A702" s="5"/>
      <c r="B702" s="88"/>
      <c r="C702" s="88"/>
    </row>
    <row r="703" ht="15.75" customHeight="1">
      <c r="A703" s="5"/>
      <c r="B703" s="88"/>
      <c r="C703" s="88"/>
    </row>
    <row r="704" ht="15.75" customHeight="1">
      <c r="A704" s="5"/>
      <c r="B704" s="88"/>
      <c r="C704" s="88"/>
    </row>
    <row r="705" ht="15.75" customHeight="1">
      <c r="A705" s="5"/>
      <c r="B705" s="88"/>
      <c r="C705" s="88"/>
    </row>
    <row r="706" ht="15.75" customHeight="1">
      <c r="A706" s="5"/>
      <c r="B706" s="88"/>
      <c r="C706" s="88"/>
    </row>
    <row r="707" ht="15.75" customHeight="1">
      <c r="A707" s="5"/>
      <c r="B707" s="88"/>
      <c r="C707" s="88"/>
    </row>
    <row r="708" ht="15.75" customHeight="1">
      <c r="A708" s="5"/>
      <c r="B708" s="88"/>
      <c r="C708" s="88"/>
    </row>
    <row r="709" ht="15.75" customHeight="1">
      <c r="A709" s="5"/>
      <c r="B709" s="88"/>
      <c r="C709" s="88"/>
    </row>
    <row r="710" ht="15.75" customHeight="1">
      <c r="A710" s="5"/>
      <c r="B710" s="88"/>
      <c r="C710" s="88"/>
    </row>
    <row r="711" ht="15.75" customHeight="1">
      <c r="A711" s="5"/>
      <c r="B711" s="88"/>
      <c r="C711" s="88"/>
    </row>
    <row r="712" ht="15.75" customHeight="1">
      <c r="A712" s="5"/>
      <c r="B712" s="88"/>
      <c r="C712" s="88"/>
    </row>
    <row r="713" ht="15.75" customHeight="1">
      <c r="A713" s="5"/>
      <c r="B713" s="88"/>
      <c r="C713" s="88"/>
    </row>
    <row r="714" ht="15.75" customHeight="1">
      <c r="A714" s="5"/>
      <c r="B714" s="88"/>
      <c r="C714" s="88"/>
    </row>
    <row r="715" ht="15.75" customHeight="1">
      <c r="A715" s="5"/>
      <c r="B715" s="88"/>
      <c r="C715" s="88"/>
    </row>
    <row r="716" ht="15.75" customHeight="1">
      <c r="A716" s="5"/>
      <c r="B716" s="88"/>
      <c r="C716" s="88"/>
    </row>
    <row r="717" ht="15.75" customHeight="1">
      <c r="A717" s="5"/>
      <c r="B717" s="88"/>
      <c r="C717" s="88"/>
    </row>
    <row r="718" ht="15.75" customHeight="1">
      <c r="A718" s="5"/>
      <c r="B718" s="88"/>
      <c r="C718" s="88"/>
    </row>
    <row r="719" ht="15.75" customHeight="1">
      <c r="A719" s="5"/>
      <c r="B719" s="88"/>
      <c r="C719" s="88"/>
    </row>
    <row r="720" ht="15.75" customHeight="1">
      <c r="A720" s="5"/>
      <c r="B720" s="88"/>
      <c r="C720" s="88"/>
    </row>
    <row r="721" ht="15.75" customHeight="1">
      <c r="A721" s="5"/>
      <c r="B721" s="88"/>
      <c r="C721" s="88"/>
    </row>
    <row r="722" ht="15.75" customHeight="1">
      <c r="A722" s="5"/>
      <c r="B722" s="88"/>
      <c r="C722" s="88"/>
    </row>
    <row r="723" ht="15.75" customHeight="1">
      <c r="A723" s="5"/>
      <c r="B723" s="88"/>
      <c r="C723" s="88"/>
    </row>
    <row r="724" ht="15.75" customHeight="1">
      <c r="A724" s="5"/>
      <c r="B724" s="88"/>
      <c r="C724" s="88"/>
    </row>
    <row r="725" ht="15.75" customHeight="1">
      <c r="A725" s="5"/>
      <c r="B725" s="88"/>
      <c r="C725" s="88"/>
    </row>
    <row r="726" ht="15.75" customHeight="1">
      <c r="A726" s="5"/>
      <c r="B726" s="88"/>
      <c r="C726" s="88"/>
    </row>
    <row r="727" ht="15.75" customHeight="1">
      <c r="A727" s="5"/>
      <c r="B727" s="88"/>
      <c r="C727" s="88"/>
    </row>
    <row r="728" ht="15.75" customHeight="1">
      <c r="A728" s="5"/>
      <c r="B728" s="88"/>
      <c r="C728" s="88"/>
    </row>
    <row r="729" ht="15.75" customHeight="1">
      <c r="A729" s="5"/>
      <c r="B729" s="88"/>
      <c r="C729" s="88"/>
    </row>
    <row r="730" ht="15.75" customHeight="1">
      <c r="A730" s="5"/>
      <c r="B730" s="88"/>
      <c r="C730" s="88"/>
    </row>
    <row r="731" ht="15.75" customHeight="1">
      <c r="A731" s="5"/>
      <c r="B731" s="88"/>
      <c r="C731" s="88"/>
    </row>
    <row r="732" ht="15.75" customHeight="1">
      <c r="A732" s="5"/>
      <c r="B732" s="88"/>
      <c r="C732" s="88"/>
    </row>
    <row r="733" ht="15.75" customHeight="1">
      <c r="A733" s="5"/>
      <c r="B733" s="88"/>
      <c r="C733" s="88"/>
    </row>
    <row r="734" ht="15.75" customHeight="1">
      <c r="A734" s="5"/>
      <c r="B734" s="88"/>
      <c r="C734" s="88"/>
    </row>
    <row r="735" ht="15.75" customHeight="1">
      <c r="A735" s="5"/>
      <c r="B735" s="88"/>
      <c r="C735" s="88"/>
    </row>
    <row r="736" ht="15.75" customHeight="1">
      <c r="A736" s="5"/>
      <c r="B736" s="88"/>
      <c r="C736" s="88"/>
    </row>
    <row r="737" ht="15.75" customHeight="1">
      <c r="A737" s="5"/>
      <c r="B737" s="88"/>
      <c r="C737" s="88"/>
    </row>
    <row r="738" ht="15.75" customHeight="1">
      <c r="A738" s="5"/>
      <c r="B738" s="88"/>
      <c r="C738" s="88"/>
    </row>
    <row r="739" ht="15.75" customHeight="1">
      <c r="A739" s="5"/>
      <c r="B739" s="88"/>
      <c r="C739" s="88"/>
    </row>
    <row r="740" ht="15.75" customHeight="1">
      <c r="A740" s="5"/>
      <c r="B740" s="88"/>
      <c r="C740" s="88"/>
    </row>
    <row r="741" ht="15.75" customHeight="1">
      <c r="A741" s="5"/>
      <c r="B741" s="88"/>
      <c r="C741" s="88"/>
    </row>
    <row r="742" ht="15.75" customHeight="1">
      <c r="A742" s="5"/>
      <c r="B742" s="88"/>
      <c r="C742" s="88"/>
    </row>
    <row r="743" ht="15.75" customHeight="1">
      <c r="A743" s="5"/>
      <c r="B743" s="88"/>
      <c r="C743" s="88"/>
    </row>
    <row r="744" ht="15.75" customHeight="1">
      <c r="A744" s="5"/>
      <c r="B744" s="88"/>
      <c r="C744" s="88"/>
    </row>
    <row r="745" ht="15.75" customHeight="1">
      <c r="A745" s="5"/>
      <c r="B745" s="88"/>
      <c r="C745" s="88"/>
    </row>
    <row r="746" ht="15.75" customHeight="1">
      <c r="A746" s="5"/>
      <c r="B746" s="88"/>
      <c r="C746" s="88"/>
    </row>
    <row r="747" ht="15.75" customHeight="1">
      <c r="A747" s="5"/>
      <c r="B747" s="88"/>
      <c r="C747" s="88"/>
    </row>
    <row r="748" ht="15.75" customHeight="1">
      <c r="A748" s="5"/>
      <c r="B748" s="88"/>
      <c r="C748" s="88"/>
    </row>
    <row r="749" ht="15.75" customHeight="1">
      <c r="A749" s="5"/>
      <c r="B749" s="88"/>
      <c r="C749" s="88"/>
    </row>
    <row r="750" ht="15.75" customHeight="1">
      <c r="A750" s="5"/>
      <c r="B750" s="88"/>
      <c r="C750" s="88"/>
    </row>
    <row r="751" ht="15.75" customHeight="1">
      <c r="A751" s="5"/>
      <c r="B751" s="88"/>
      <c r="C751" s="88"/>
    </row>
    <row r="752" ht="15.75" customHeight="1">
      <c r="A752" s="5"/>
      <c r="B752" s="88"/>
      <c r="C752" s="88"/>
    </row>
    <row r="753" ht="15.75" customHeight="1">
      <c r="A753" s="5"/>
      <c r="B753" s="88"/>
      <c r="C753" s="88"/>
    </row>
    <row r="754" ht="15.75" customHeight="1">
      <c r="A754" s="5"/>
      <c r="B754" s="88"/>
      <c r="C754" s="88"/>
    </row>
    <row r="755" ht="15.75" customHeight="1">
      <c r="A755" s="5"/>
      <c r="B755" s="88"/>
      <c r="C755" s="88"/>
    </row>
    <row r="756" ht="15.75" customHeight="1">
      <c r="A756" s="5"/>
      <c r="B756" s="88"/>
      <c r="C756" s="88"/>
    </row>
    <row r="757" ht="15.75" customHeight="1">
      <c r="A757" s="5"/>
      <c r="B757" s="88"/>
      <c r="C757" s="88"/>
    </row>
    <row r="758" ht="15.75" customHeight="1">
      <c r="A758" s="5"/>
      <c r="B758" s="88"/>
      <c r="C758" s="88"/>
    </row>
    <row r="759" ht="15.75" customHeight="1">
      <c r="A759" s="5"/>
      <c r="B759" s="88"/>
      <c r="C759" s="88"/>
    </row>
    <row r="760" ht="15.75" customHeight="1">
      <c r="A760" s="5"/>
      <c r="B760" s="88"/>
      <c r="C760" s="88"/>
    </row>
    <row r="761" ht="15.75" customHeight="1">
      <c r="A761" s="5"/>
      <c r="B761" s="88"/>
      <c r="C761" s="88"/>
    </row>
    <row r="762" ht="15.75" customHeight="1">
      <c r="A762" s="5"/>
      <c r="B762" s="88"/>
      <c r="C762" s="88"/>
    </row>
    <row r="763" ht="15.75" customHeight="1">
      <c r="A763" s="5"/>
      <c r="B763" s="88"/>
      <c r="C763" s="88"/>
    </row>
    <row r="764" ht="15.75" customHeight="1">
      <c r="A764" s="5"/>
      <c r="B764" s="88"/>
      <c r="C764" s="88"/>
    </row>
    <row r="765" ht="15.75" customHeight="1">
      <c r="A765" s="5"/>
      <c r="B765" s="88"/>
      <c r="C765" s="88"/>
    </row>
    <row r="766" ht="15.75" customHeight="1">
      <c r="A766" s="5"/>
      <c r="B766" s="88"/>
      <c r="C766" s="88"/>
    </row>
    <row r="767" ht="15.75" customHeight="1">
      <c r="A767" s="5"/>
      <c r="B767" s="88"/>
      <c r="C767" s="88"/>
    </row>
    <row r="768" ht="15.75" customHeight="1">
      <c r="A768" s="5"/>
      <c r="B768" s="88"/>
      <c r="C768" s="88"/>
    </row>
    <row r="769" ht="15.75" customHeight="1">
      <c r="A769" s="5"/>
      <c r="B769" s="88"/>
      <c r="C769" s="88"/>
    </row>
    <row r="770" ht="15.75" customHeight="1">
      <c r="A770" s="5"/>
      <c r="B770" s="88"/>
      <c r="C770" s="88"/>
    </row>
    <row r="771" ht="15.75" customHeight="1">
      <c r="A771" s="5"/>
      <c r="B771" s="88"/>
      <c r="C771" s="88"/>
    </row>
    <row r="772" ht="15.75" customHeight="1">
      <c r="A772" s="5"/>
      <c r="B772" s="88"/>
      <c r="C772" s="88"/>
    </row>
    <row r="773" ht="15.75" customHeight="1">
      <c r="A773" s="5"/>
      <c r="B773" s="88"/>
      <c r="C773" s="88"/>
    </row>
    <row r="774" ht="15.75" customHeight="1">
      <c r="A774" s="5"/>
      <c r="B774" s="88"/>
      <c r="C774" s="88"/>
    </row>
    <row r="775" ht="15.75" customHeight="1">
      <c r="A775" s="5"/>
      <c r="B775" s="88"/>
      <c r="C775" s="88"/>
    </row>
    <row r="776" ht="15.75" customHeight="1">
      <c r="A776" s="5"/>
      <c r="B776" s="88"/>
      <c r="C776" s="88"/>
    </row>
    <row r="777" ht="15.75" customHeight="1">
      <c r="A777" s="5"/>
      <c r="B777" s="88"/>
      <c r="C777" s="88"/>
    </row>
    <row r="778" ht="15.75" customHeight="1">
      <c r="A778" s="5"/>
      <c r="B778" s="88"/>
      <c r="C778" s="88"/>
    </row>
    <row r="779" ht="15.75" customHeight="1">
      <c r="A779" s="5"/>
      <c r="B779" s="88"/>
      <c r="C779" s="88"/>
    </row>
    <row r="780" ht="15.75" customHeight="1">
      <c r="A780" s="5"/>
      <c r="B780" s="88"/>
      <c r="C780" s="88"/>
    </row>
    <row r="781" ht="15.75" customHeight="1">
      <c r="A781" s="5"/>
      <c r="B781" s="88"/>
      <c r="C781" s="88"/>
    </row>
    <row r="782" ht="15.75" customHeight="1">
      <c r="A782" s="5"/>
      <c r="B782" s="88"/>
      <c r="C782" s="88"/>
    </row>
    <row r="783" ht="15.75" customHeight="1">
      <c r="A783" s="5"/>
      <c r="B783" s="88"/>
      <c r="C783" s="88"/>
    </row>
    <row r="784" ht="15.75" customHeight="1">
      <c r="A784" s="5"/>
      <c r="B784" s="88"/>
      <c r="C784" s="88"/>
    </row>
    <row r="785" ht="15.75" customHeight="1">
      <c r="A785" s="5"/>
      <c r="B785" s="88"/>
      <c r="C785" s="88"/>
    </row>
    <row r="786" ht="15.75" customHeight="1">
      <c r="A786" s="5"/>
      <c r="B786" s="88"/>
      <c r="C786" s="88"/>
    </row>
    <row r="787" ht="15.75" customHeight="1">
      <c r="A787" s="5"/>
      <c r="B787" s="88"/>
      <c r="C787" s="88"/>
    </row>
    <row r="788" ht="15.75" customHeight="1">
      <c r="A788" s="5"/>
      <c r="B788" s="88"/>
      <c r="C788" s="88"/>
    </row>
    <row r="789" ht="15.75" customHeight="1">
      <c r="A789" s="5"/>
      <c r="B789" s="88"/>
      <c r="C789" s="88"/>
    </row>
    <row r="790" ht="15.75" customHeight="1">
      <c r="A790" s="5"/>
      <c r="B790" s="88"/>
      <c r="C790" s="88"/>
    </row>
    <row r="791" ht="15.75" customHeight="1">
      <c r="A791" s="5"/>
      <c r="B791" s="88"/>
      <c r="C791" s="88"/>
    </row>
    <row r="792" ht="15.75" customHeight="1">
      <c r="A792" s="5"/>
      <c r="B792" s="88"/>
      <c r="C792" s="88"/>
    </row>
    <row r="793" ht="15.75" customHeight="1">
      <c r="A793" s="5"/>
      <c r="B793" s="88"/>
      <c r="C793" s="88"/>
    </row>
    <row r="794" ht="15.75" customHeight="1">
      <c r="A794" s="5"/>
      <c r="B794" s="88"/>
      <c r="C794" s="88"/>
    </row>
    <row r="795" ht="15.75" customHeight="1">
      <c r="A795" s="5"/>
      <c r="B795" s="88"/>
      <c r="C795" s="88"/>
    </row>
    <row r="796" ht="15.75" customHeight="1">
      <c r="A796" s="5"/>
      <c r="B796" s="88"/>
      <c r="C796" s="88"/>
    </row>
    <row r="797" ht="15.75" customHeight="1">
      <c r="A797" s="5"/>
      <c r="B797" s="88"/>
      <c r="C797" s="88"/>
    </row>
    <row r="798" ht="15.75" customHeight="1">
      <c r="A798" s="5"/>
      <c r="B798" s="88"/>
      <c r="C798" s="88"/>
    </row>
    <row r="799" ht="15.75" customHeight="1">
      <c r="A799" s="5"/>
      <c r="B799" s="88"/>
      <c r="C799" s="88"/>
    </row>
    <row r="800" ht="15.75" customHeight="1">
      <c r="A800" s="5"/>
      <c r="B800" s="88"/>
      <c r="C800" s="88"/>
    </row>
    <row r="801" ht="15.75" customHeight="1">
      <c r="A801" s="5"/>
      <c r="B801" s="88"/>
      <c r="C801" s="88"/>
    </row>
    <row r="802" ht="15.75" customHeight="1">
      <c r="A802" s="5"/>
      <c r="B802" s="88"/>
      <c r="C802" s="88"/>
    </row>
    <row r="803" ht="15.75" customHeight="1">
      <c r="A803" s="5"/>
      <c r="B803" s="88"/>
      <c r="C803" s="88"/>
    </row>
    <row r="804" ht="15.75" customHeight="1">
      <c r="A804" s="5"/>
      <c r="B804" s="88"/>
      <c r="C804" s="88"/>
    </row>
    <row r="805" ht="15.75" customHeight="1">
      <c r="A805" s="5"/>
      <c r="B805" s="88"/>
      <c r="C805" s="88"/>
    </row>
    <row r="806" ht="15.75" customHeight="1">
      <c r="A806" s="5"/>
      <c r="B806" s="88"/>
      <c r="C806" s="88"/>
    </row>
    <row r="807" ht="15.75" customHeight="1">
      <c r="A807" s="5"/>
      <c r="B807" s="88"/>
      <c r="C807" s="88"/>
    </row>
    <row r="808" ht="15.75" customHeight="1">
      <c r="A808" s="5"/>
      <c r="B808" s="88"/>
      <c r="C808" s="88"/>
    </row>
    <row r="809" ht="15.75" customHeight="1">
      <c r="A809" s="5"/>
      <c r="B809" s="88"/>
      <c r="C809" s="88"/>
    </row>
    <row r="810" ht="15.75" customHeight="1">
      <c r="A810" s="5"/>
      <c r="B810" s="88"/>
      <c r="C810" s="88"/>
    </row>
    <row r="811" ht="15.75" customHeight="1">
      <c r="A811" s="5"/>
      <c r="B811" s="88"/>
      <c r="C811" s="88"/>
    </row>
    <row r="812" ht="15.75" customHeight="1">
      <c r="A812" s="5"/>
      <c r="B812" s="88"/>
      <c r="C812" s="88"/>
    </row>
    <row r="813" ht="15.75" customHeight="1">
      <c r="A813" s="5"/>
      <c r="B813" s="88"/>
      <c r="C813" s="88"/>
    </row>
    <row r="814" ht="15.75" customHeight="1">
      <c r="A814" s="5"/>
      <c r="B814" s="88"/>
      <c r="C814" s="88"/>
    </row>
    <row r="815" ht="15.75" customHeight="1">
      <c r="A815" s="5"/>
      <c r="B815" s="88"/>
      <c r="C815" s="88"/>
    </row>
    <row r="816" ht="15.75" customHeight="1">
      <c r="A816" s="5"/>
      <c r="B816" s="88"/>
      <c r="C816" s="88"/>
    </row>
    <row r="817" ht="15.75" customHeight="1">
      <c r="A817" s="5"/>
      <c r="B817" s="88"/>
      <c r="C817" s="88"/>
    </row>
    <row r="818" ht="15.75" customHeight="1">
      <c r="A818" s="5"/>
      <c r="B818" s="88"/>
      <c r="C818" s="88"/>
    </row>
    <row r="819" ht="15.75" customHeight="1">
      <c r="A819" s="5"/>
      <c r="B819" s="88"/>
      <c r="C819" s="88"/>
    </row>
    <row r="820" ht="15.75" customHeight="1">
      <c r="A820" s="5"/>
      <c r="B820" s="88"/>
      <c r="C820" s="88"/>
    </row>
    <row r="821" ht="15.75" customHeight="1">
      <c r="A821" s="5"/>
      <c r="B821" s="88"/>
      <c r="C821" s="88"/>
    </row>
    <row r="822" ht="15.75" customHeight="1">
      <c r="A822" s="5"/>
      <c r="B822" s="88"/>
      <c r="C822" s="88"/>
    </row>
    <row r="823" ht="15.75" customHeight="1">
      <c r="A823" s="5"/>
      <c r="B823" s="88"/>
      <c r="C823" s="88"/>
    </row>
    <row r="824" ht="15.75" customHeight="1">
      <c r="A824" s="5"/>
      <c r="B824" s="88"/>
      <c r="C824" s="88"/>
    </row>
    <row r="825" ht="15.75" customHeight="1">
      <c r="A825" s="5"/>
      <c r="B825" s="88"/>
      <c r="C825" s="88"/>
    </row>
    <row r="826" ht="15.75" customHeight="1">
      <c r="A826" s="5"/>
      <c r="B826" s="88"/>
      <c r="C826" s="88"/>
    </row>
    <row r="827" ht="15.75" customHeight="1">
      <c r="A827" s="5"/>
      <c r="B827" s="88"/>
      <c r="C827" s="88"/>
    </row>
    <row r="828" ht="15.75" customHeight="1">
      <c r="A828" s="5"/>
      <c r="B828" s="88"/>
      <c r="C828" s="88"/>
    </row>
    <row r="829" ht="15.75" customHeight="1">
      <c r="A829" s="5"/>
      <c r="B829" s="88"/>
      <c r="C829" s="88"/>
    </row>
    <row r="830" ht="15.75" customHeight="1">
      <c r="A830" s="5"/>
      <c r="B830" s="88"/>
      <c r="C830" s="88"/>
    </row>
    <row r="831" ht="15.75" customHeight="1">
      <c r="A831" s="5"/>
      <c r="B831" s="88"/>
      <c r="C831" s="88"/>
    </row>
    <row r="832" ht="15.75" customHeight="1">
      <c r="A832" s="5"/>
      <c r="B832" s="88"/>
      <c r="C832" s="88"/>
    </row>
    <row r="833" ht="15.75" customHeight="1">
      <c r="A833" s="5"/>
      <c r="B833" s="88"/>
      <c r="C833" s="88"/>
    </row>
    <row r="834" ht="15.75" customHeight="1">
      <c r="A834" s="5"/>
      <c r="B834" s="88"/>
      <c r="C834" s="88"/>
    </row>
    <row r="835" ht="15.75" customHeight="1">
      <c r="A835" s="5"/>
      <c r="B835" s="88"/>
      <c r="C835" s="88"/>
    </row>
    <row r="836" ht="15.75" customHeight="1">
      <c r="A836" s="5"/>
      <c r="B836" s="88"/>
      <c r="C836" s="88"/>
    </row>
    <row r="837" ht="15.75" customHeight="1">
      <c r="A837" s="5"/>
      <c r="B837" s="88"/>
      <c r="C837" s="88"/>
    </row>
    <row r="838" ht="15.75" customHeight="1">
      <c r="A838" s="5"/>
      <c r="B838" s="88"/>
      <c r="C838" s="88"/>
    </row>
    <row r="839" ht="15.75" customHeight="1">
      <c r="A839" s="5"/>
      <c r="B839" s="88"/>
      <c r="C839" s="88"/>
    </row>
    <row r="840" ht="15.75" customHeight="1">
      <c r="A840" s="5"/>
      <c r="B840" s="88"/>
      <c r="C840" s="88"/>
    </row>
    <row r="841" ht="15.75" customHeight="1">
      <c r="A841" s="5"/>
      <c r="B841" s="88"/>
      <c r="C841" s="88"/>
    </row>
    <row r="842" ht="15.75" customHeight="1">
      <c r="A842" s="5"/>
      <c r="B842" s="88"/>
      <c r="C842" s="88"/>
    </row>
    <row r="843" ht="15.75" customHeight="1">
      <c r="A843" s="5"/>
      <c r="B843" s="88"/>
      <c r="C843" s="88"/>
    </row>
    <row r="844" ht="15.75" customHeight="1">
      <c r="A844" s="5"/>
      <c r="B844" s="88"/>
      <c r="C844" s="88"/>
    </row>
    <row r="845" ht="15.75" customHeight="1">
      <c r="A845" s="5"/>
      <c r="B845" s="88"/>
      <c r="C845" s="88"/>
    </row>
    <row r="846" ht="15.75" customHeight="1">
      <c r="A846" s="5"/>
      <c r="B846" s="88"/>
      <c r="C846" s="88"/>
    </row>
    <row r="847" ht="15.75" customHeight="1">
      <c r="A847" s="5"/>
      <c r="B847" s="88"/>
      <c r="C847" s="88"/>
    </row>
    <row r="848" ht="15.75" customHeight="1">
      <c r="A848" s="5"/>
      <c r="B848" s="88"/>
      <c r="C848" s="88"/>
    </row>
    <row r="849" ht="15.75" customHeight="1">
      <c r="A849" s="5"/>
      <c r="B849" s="88"/>
      <c r="C849" s="88"/>
    </row>
    <row r="850" ht="15.75" customHeight="1">
      <c r="A850" s="5"/>
      <c r="B850" s="88"/>
      <c r="C850" s="88"/>
    </row>
    <row r="851" ht="15.75" customHeight="1">
      <c r="A851" s="5"/>
      <c r="B851" s="88"/>
      <c r="C851" s="88"/>
    </row>
    <row r="852" ht="15.75" customHeight="1">
      <c r="A852" s="5"/>
      <c r="B852" s="88"/>
      <c r="C852" s="88"/>
    </row>
    <row r="853" ht="15.75" customHeight="1">
      <c r="A853" s="5"/>
      <c r="B853" s="88"/>
      <c r="C853" s="88"/>
    </row>
    <row r="854" ht="15.75" customHeight="1">
      <c r="A854" s="5"/>
      <c r="B854" s="88"/>
      <c r="C854" s="88"/>
    </row>
    <row r="855" ht="15.75" customHeight="1">
      <c r="A855" s="5"/>
      <c r="B855" s="88"/>
      <c r="C855" s="88"/>
    </row>
    <row r="856" ht="15.75" customHeight="1">
      <c r="A856" s="5"/>
      <c r="B856" s="88"/>
      <c r="C856" s="88"/>
    </row>
    <row r="857" ht="15.75" customHeight="1">
      <c r="A857" s="5"/>
      <c r="B857" s="88"/>
      <c r="C857" s="88"/>
    </row>
    <row r="858" ht="15.75" customHeight="1">
      <c r="A858" s="5"/>
      <c r="B858" s="88"/>
      <c r="C858" s="88"/>
    </row>
    <row r="859" ht="15.75" customHeight="1">
      <c r="A859" s="5"/>
      <c r="B859" s="88"/>
      <c r="C859" s="88"/>
    </row>
    <row r="860" ht="15.75" customHeight="1">
      <c r="A860" s="5"/>
      <c r="B860" s="88"/>
      <c r="C860" s="88"/>
    </row>
    <row r="861" ht="15.75" customHeight="1">
      <c r="A861" s="5"/>
      <c r="B861" s="88"/>
      <c r="C861" s="88"/>
    </row>
    <row r="862" ht="15.75" customHeight="1">
      <c r="A862" s="5"/>
      <c r="B862" s="88"/>
      <c r="C862" s="88"/>
    </row>
    <row r="863" ht="15.75" customHeight="1">
      <c r="A863" s="5"/>
      <c r="B863" s="88"/>
      <c r="C863" s="88"/>
    </row>
    <row r="864" ht="15.75" customHeight="1">
      <c r="A864" s="5"/>
      <c r="B864" s="88"/>
      <c r="C864" s="88"/>
    </row>
    <row r="865" ht="15.75" customHeight="1">
      <c r="A865" s="5"/>
      <c r="B865" s="88"/>
      <c r="C865" s="88"/>
    </row>
    <row r="866" ht="15.75" customHeight="1">
      <c r="A866" s="5"/>
      <c r="B866" s="88"/>
      <c r="C866" s="88"/>
    </row>
    <row r="867" ht="15.75" customHeight="1">
      <c r="A867" s="5"/>
      <c r="B867" s="88"/>
      <c r="C867" s="88"/>
    </row>
    <row r="868" ht="15.75" customHeight="1">
      <c r="A868" s="5"/>
      <c r="B868" s="88"/>
      <c r="C868" s="88"/>
    </row>
    <row r="869" ht="15.75" customHeight="1">
      <c r="A869" s="5"/>
      <c r="B869" s="88"/>
      <c r="C869" s="88"/>
    </row>
    <row r="870" ht="15.75" customHeight="1">
      <c r="A870" s="5"/>
      <c r="B870" s="88"/>
      <c r="C870" s="88"/>
    </row>
    <row r="871" ht="15.75" customHeight="1">
      <c r="A871" s="5"/>
      <c r="B871" s="88"/>
      <c r="C871" s="88"/>
    </row>
    <row r="872" ht="15.75" customHeight="1">
      <c r="A872" s="5"/>
      <c r="B872" s="88"/>
      <c r="C872" s="88"/>
    </row>
    <row r="873" ht="15.75" customHeight="1">
      <c r="A873" s="5"/>
      <c r="B873" s="88"/>
      <c r="C873" s="88"/>
    </row>
    <row r="874" ht="15.75" customHeight="1">
      <c r="A874" s="5"/>
      <c r="B874" s="88"/>
      <c r="C874" s="88"/>
    </row>
    <row r="875" ht="15.75" customHeight="1">
      <c r="A875" s="5"/>
      <c r="B875" s="88"/>
      <c r="C875" s="88"/>
    </row>
    <row r="876" ht="15.75" customHeight="1">
      <c r="A876" s="5"/>
      <c r="B876" s="88"/>
      <c r="C876" s="88"/>
    </row>
    <row r="877" ht="15.75" customHeight="1">
      <c r="A877" s="5"/>
      <c r="B877" s="88"/>
      <c r="C877" s="88"/>
    </row>
    <row r="878" ht="15.75" customHeight="1">
      <c r="A878" s="5"/>
      <c r="B878" s="88"/>
      <c r="C878" s="88"/>
    </row>
    <row r="879" ht="15.75" customHeight="1">
      <c r="A879" s="5"/>
      <c r="B879" s="88"/>
      <c r="C879" s="88"/>
    </row>
    <row r="880" ht="15.75" customHeight="1">
      <c r="A880" s="5"/>
      <c r="B880" s="88"/>
      <c r="C880" s="88"/>
    </row>
    <row r="881" ht="15.75" customHeight="1">
      <c r="A881" s="5"/>
      <c r="B881" s="88"/>
      <c r="C881" s="88"/>
    </row>
    <row r="882" ht="15.75" customHeight="1">
      <c r="A882" s="5"/>
      <c r="B882" s="88"/>
      <c r="C882" s="88"/>
    </row>
    <row r="883" ht="15.75" customHeight="1">
      <c r="A883" s="5"/>
      <c r="B883" s="88"/>
      <c r="C883" s="88"/>
    </row>
    <row r="884" ht="15.75" customHeight="1">
      <c r="A884" s="5"/>
      <c r="B884" s="88"/>
      <c r="C884" s="88"/>
    </row>
    <row r="885" ht="15.75" customHeight="1">
      <c r="A885" s="5"/>
      <c r="B885" s="88"/>
      <c r="C885" s="88"/>
    </row>
    <row r="886" ht="15.75" customHeight="1">
      <c r="A886" s="5"/>
      <c r="B886" s="88"/>
      <c r="C886" s="88"/>
    </row>
    <row r="887" ht="15.75" customHeight="1">
      <c r="A887" s="5"/>
      <c r="B887" s="88"/>
      <c r="C887" s="88"/>
    </row>
    <row r="888" ht="15.75" customHeight="1">
      <c r="A888" s="5"/>
      <c r="B888" s="88"/>
      <c r="C888" s="88"/>
    </row>
    <row r="889" ht="15.75" customHeight="1">
      <c r="A889" s="5"/>
      <c r="B889" s="88"/>
      <c r="C889" s="88"/>
    </row>
    <row r="890" ht="15.75" customHeight="1">
      <c r="A890" s="5"/>
      <c r="B890" s="88"/>
      <c r="C890" s="88"/>
    </row>
    <row r="891" ht="15.75" customHeight="1">
      <c r="A891" s="5"/>
      <c r="B891" s="88"/>
      <c r="C891" s="88"/>
    </row>
    <row r="892" ht="15.75" customHeight="1">
      <c r="A892" s="5"/>
      <c r="B892" s="88"/>
      <c r="C892" s="88"/>
    </row>
    <row r="893" ht="15.75" customHeight="1">
      <c r="A893" s="5"/>
      <c r="B893" s="88"/>
      <c r="C893" s="88"/>
    </row>
    <row r="894" ht="15.75" customHeight="1">
      <c r="A894" s="5"/>
      <c r="B894" s="88"/>
      <c r="C894" s="88"/>
    </row>
    <row r="895" ht="15.75" customHeight="1">
      <c r="A895" s="5"/>
      <c r="B895" s="88"/>
      <c r="C895" s="88"/>
    </row>
    <row r="896" ht="15.75" customHeight="1">
      <c r="A896" s="5"/>
      <c r="B896" s="88"/>
      <c r="C896" s="88"/>
    </row>
    <row r="897" ht="15.75" customHeight="1">
      <c r="A897" s="5"/>
      <c r="B897" s="88"/>
      <c r="C897" s="88"/>
    </row>
    <row r="898" ht="15.75" customHeight="1">
      <c r="A898" s="5"/>
      <c r="B898" s="88"/>
      <c r="C898" s="88"/>
    </row>
    <row r="899" ht="15.75" customHeight="1">
      <c r="A899" s="5"/>
      <c r="B899" s="88"/>
      <c r="C899" s="88"/>
    </row>
    <row r="900" ht="15.75" customHeight="1">
      <c r="A900" s="5"/>
      <c r="B900" s="88"/>
      <c r="C900" s="88"/>
    </row>
    <row r="901" ht="15.75" customHeight="1">
      <c r="A901" s="5"/>
      <c r="B901" s="88"/>
      <c r="C901" s="88"/>
    </row>
    <row r="902" ht="15.75" customHeight="1">
      <c r="A902" s="5"/>
      <c r="B902" s="88"/>
      <c r="C902" s="88"/>
    </row>
    <row r="903" ht="15.75" customHeight="1">
      <c r="A903" s="5"/>
      <c r="B903" s="88"/>
      <c r="C903" s="88"/>
    </row>
    <row r="904" ht="15.75" customHeight="1">
      <c r="A904" s="5"/>
      <c r="B904" s="88"/>
      <c r="C904" s="88"/>
    </row>
    <row r="905" ht="15.75" customHeight="1">
      <c r="A905" s="5"/>
      <c r="B905" s="88"/>
      <c r="C905" s="88"/>
    </row>
    <row r="906" ht="15.75" customHeight="1">
      <c r="A906" s="5"/>
      <c r="B906" s="88"/>
      <c r="C906" s="88"/>
    </row>
    <row r="907" ht="15.75" customHeight="1">
      <c r="A907" s="5"/>
      <c r="B907" s="88"/>
      <c r="C907" s="88"/>
    </row>
    <row r="908" ht="15.75" customHeight="1">
      <c r="A908" s="5"/>
      <c r="B908" s="88"/>
      <c r="C908" s="88"/>
    </row>
    <row r="909" ht="15.75" customHeight="1">
      <c r="A909" s="5"/>
      <c r="B909" s="88"/>
      <c r="C909" s="88"/>
    </row>
    <row r="910" ht="15.75" customHeight="1">
      <c r="A910" s="5"/>
      <c r="B910" s="88"/>
      <c r="C910" s="88"/>
    </row>
    <row r="911" ht="15.75" customHeight="1">
      <c r="A911" s="5"/>
      <c r="B911" s="88"/>
      <c r="C911" s="88"/>
    </row>
    <row r="912" ht="15.75" customHeight="1">
      <c r="A912" s="5"/>
      <c r="B912" s="88"/>
      <c r="C912" s="88"/>
    </row>
    <row r="913" ht="15.75" customHeight="1">
      <c r="A913" s="5"/>
      <c r="B913" s="88"/>
      <c r="C913" s="88"/>
    </row>
    <row r="914" ht="15.75" customHeight="1">
      <c r="A914" s="5"/>
      <c r="B914" s="88"/>
      <c r="C914" s="88"/>
    </row>
    <row r="915" ht="15.75" customHeight="1">
      <c r="A915" s="5"/>
      <c r="B915" s="88"/>
      <c r="C915" s="88"/>
    </row>
    <row r="916" ht="15.75" customHeight="1">
      <c r="A916" s="5"/>
      <c r="B916" s="88"/>
      <c r="C916" s="88"/>
    </row>
    <row r="917" ht="15.75" customHeight="1">
      <c r="A917" s="5"/>
      <c r="B917" s="88"/>
      <c r="C917" s="88"/>
    </row>
    <row r="918" ht="15.75" customHeight="1">
      <c r="A918" s="5"/>
      <c r="B918" s="88"/>
      <c r="C918" s="88"/>
    </row>
    <row r="919" ht="15.75" customHeight="1">
      <c r="A919" s="5"/>
      <c r="B919" s="88"/>
      <c r="C919" s="88"/>
    </row>
    <row r="920" ht="15.75" customHeight="1">
      <c r="A920" s="5"/>
      <c r="B920" s="88"/>
      <c r="C920" s="88"/>
    </row>
    <row r="921" ht="15.75" customHeight="1">
      <c r="A921" s="5"/>
      <c r="B921" s="88"/>
      <c r="C921" s="88"/>
    </row>
    <row r="922" ht="15.75" customHeight="1">
      <c r="A922" s="5"/>
      <c r="B922" s="88"/>
      <c r="C922" s="88"/>
    </row>
    <row r="923" ht="15.75" customHeight="1">
      <c r="A923" s="5"/>
      <c r="B923" s="88"/>
      <c r="C923" s="88"/>
    </row>
    <row r="924" ht="15.75" customHeight="1">
      <c r="A924" s="5"/>
      <c r="B924" s="88"/>
      <c r="C924" s="88"/>
    </row>
    <row r="925" ht="15.75" customHeight="1">
      <c r="A925" s="5"/>
      <c r="B925" s="88"/>
      <c r="C925" s="88"/>
    </row>
    <row r="926" ht="15.75" customHeight="1">
      <c r="A926" s="5"/>
      <c r="B926" s="88"/>
      <c r="C926" s="88"/>
    </row>
    <row r="927" ht="15.75" customHeight="1">
      <c r="A927" s="5"/>
      <c r="B927" s="88"/>
      <c r="C927" s="88"/>
    </row>
    <row r="928" ht="15.75" customHeight="1">
      <c r="A928" s="5"/>
      <c r="B928" s="88"/>
      <c r="C928" s="88"/>
    </row>
    <row r="929" ht="15.75" customHeight="1">
      <c r="A929" s="5"/>
      <c r="B929" s="88"/>
      <c r="C929" s="88"/>
    </row>
    <row r="930" ht="15.75" customHeight="1">
      <c r="A930" s="5"/>
      <c r="B930" s="88"/>
      <c r="C930" s="88"/>
    </row>
    <row r="931" ht="15.75" customHeight="1">
      <c r="A931" s="5"/>
      <c r="B931" s="88"/>
      <c r="C931" s="88"/>
    </row>
    <row r="932" ht="15.75" customHeight="1">
      <c r="A932" s="5"/>
      <c r="B932" s="88"/>
      <c r="C932" s="88"/>
    </row>
    <row r="933" ht="15.75" customHeight="1">
      <c r="A933" s="5"/>
      <c r="B933" s="88"/>
      <c r="C933" s="88"/>
    </row>
    <row r="934" ht="15.75" customHeight="1">
      <c r="A934" s="5"/>
      <c r="B934" s="88"/>
      <c r="C934" s="88"/>
    </row>
    <row r="935" ht="15.75" customHeight="1">
      <c r="A935" s="5"/>
      <c r="B935" s="88"/>
      <c r="C935" s="88"/>
    </row>
    <row r="936" ht="15.75" customHeight="1">
      <c r="A936" s="5"/>
      <c r="B936" s="88"/>
      <c r="C936" s="88"/>
    </row>
    <row r="937" ht="15.75" customHeight="1">
      <c r="A937" s="5"/>
      <c r="B937" s="88"/>
      <c r="C937" s="88"/>
    </row>
    <row r="938" ht="15.75" customHeight="1">
      <c r="A938" s="5"/>
      <c r="B938" s="88"/>
      <c r="C938" s="88"/>
    </row>
    <row r="939" ht="15.75" customHeight="1">
      <c r="A939" s="5"/>
      <c r="B939" s="88"/>
      <c r="C939" s="88"/>
    </row>
    <row r="940" ht="15.75" customHeight="1">
      <c r="A940" s="5"/>
      <c r="B940" s="88"/>
      <c r="C940" s="88"/>
    </row>
    <row r="941" ht="15.75" customHeight="1">
      <c r="A941" s="5"/>
      <c r="B941" s="88"/>
      <c r="C941" s="88"/>
    </row>
    <row r="942" ht="15.75" customHeight="1">
      <c r="A942" s="5"/>
      <c r="B942" s="88"/>
      <c r="C942" s="88"/>
    </row>
    <row r="943" ht="15.75" customHeight="1">
      <c r="A943" s="5"/>
      <c r="B943" s="88"/>
      <c r="C943" s="88"/>
    </row>
    <row r="944" ht="15.75" customHeight="1">
      <c r="A944" s="5"/>
      <c r="B944" s="88"/>
      <c r="C944" s="88"/>
    </row>
    <row r="945" ht="15.75" customHeight="1">
      <c r="A945" s="5"/>
      <c r="B945" s="88"/>
      <c r="C945" s="88"/>
    </row>
    <row r="946" ht="15.75" customHeight="1">
      <c r="A946" s="5"/>
      <c r="B946" s="88"/>
      <c r="C946" s="88"/>
    </row>
    <row r="947" ht="15.75" customHeight="1">
      <c r="A947" s="5"/>
      <c r="B947" s="88"/>
      <c r="C947" s="88"/>
    </row>
    <row r="948" ht="15.75" customHeight="1">
      <c r="A948" s="5"/>
      <c r="B948" s="88"/>
      <c r="C948" s="88"/>
    </row>
    <row r="949" ht="15.75" customHeight="1">
      <c r="A949" s="5"/>
      <c r="B949" s="88"/>
      <c r="C949" s="88"/>
    </row>
    <row r="950" ht="15.75" customHeight="1">
      <c r="A950" s="5"/>
      <c r="B950" s="88"/>
      <c r="C950" s="88"/>
    </row>
    <row r="951" ht="15.75" customHeight="1">
      <c r="A951" s="5"/>
      <c r="B951" s="88"/>
      <c r="C951" s="88"/>
    </row>
    <row r="952" ht="15.75" customHeight="1">
      <c r="A952" s="5"/>
      <c r="B952" s="88"/>
      <c r="C952" s="88"/>
    </row>
    <row r="953" ht="15.75" customHeight="1">
      <c r="A953" s="5"/>
      <c r="B953" s="88"/>
      <c r="C953" s="88"/>
    </row>
    <row r="954" ht="15.75" customHeight="1">
      <c r="A954" s="5"/>
      <c r="B954" s="88"/>
      <c r="C954" s="88"/>
    </row>
    <row r="955" ht="15.75" customHeight="1">
      <c r="A955" s="5"/>
      <c r="B955" s="88"/>
      <c r="C955" s="88"/>
    </row>
    <row r="956" ht="15.75" customHeight="1">
      <c r="A956" s="5"/>
      <c r="B956" s="88"/>
      <c r="C956" s="88"/>
    </row>
    <row r="957" ht="15.75" customHeight="1">
      <c r="A957" s="5"/>
      <c r="B957" s="88"/>
      <c r="C957" s="88"/>
    </row>
    <row r="958" ht="15.75" customHeight="1">
      <c r="A958" s="5"/>
      <c r="B958" s="88"/>
      <c r="C958" s="88"/>
    </row>
    <row r="959" ht="15.75" customHeight="1">
      <c r="A959" s="5"/>
      <c r="B959" s="88"/>
      <c r="C959" s="88"/>
    </row>
    <row r="960" ht="15.75" customHeight="1">
      <c r="A960" s="5"/>
      <c r="B960" s="88"/>
      <c r="C960" s="88"/>
    </row>
    <row r="961" ht="15.75" customHeight="1">
      <c r="A961" s="5"/>
      <c r="B961" s="88"/>
      <c r="C961" s="88"/>
    </row>
    <row r="962" ht="15.75" customHeight="1">
      <c r="A962" s="5"/>
      <c r="B962" s="88"/>
      <c r="C962" s="88"/>
    </row>
    <row r="963" ht="15.75" customHeight="1">
      <c r="A963" s="5"/>
      <c r="B963" s="88"/>
      <c r="C963" s="88"/>
    </row>
    <row r="964" ht="15.75" customHeight="1">
      <c r="A964" s="5"/>
      <c r="B964" s="88"/>
      <c r="C964" s="88"/>
    </row>
    <row r="965" ht="15.75" customHeight="1">
      <c r="A965" s="5"/>
      <c r="B965" s="88"/>
      <c r="C965" s="88"/>
    </row>
    <row r="966" ht="15.75" customHeight="1">
      <c r="A966" s="5"/>
      <c r="B966" s="88"/>
      <c r="C966" s="88"/>
    </row>
    <row r="967" ht="15.75" customHeight="1">
      <c r="A967" s="5"/>
      <c r="B967" s="88"/>
      <c r="C967" s="88"/>
    </row>
    <row r="968" ht="15.75" customHeight="1">
      <c r="A968" s="5"/>
      <c r="B968" s="88"/>
      <c r="C968" s="88"/>
    </row>
    <row r="969" ht="15.75" customHeight="1">
      <c r="A969" s="5"/>
      <c r="B969" s="88"/>
      <c r="C969" s="88"/>
    </row>
    <row r="970" ht="15.75" customHeight="1">
      <c r="A970" s="5"/>
      <c r="B970" s="88"/>
      <c r="C970" s="88"/>
    </row>
    <row r="971" ht="15.75" customHeight="1">
      <c r="A971" s="5"/>
      <c r="B971" s="88"/>
      <c r="C971" s="88"/>
    </row>
    <row r="972" ht="15.75" customHeight="1">
      <c r="A972" s="5"/>
      <c r="B972" s="88"/>
      <c r="C972" s="88"/>
    </row>
    <row r="973" ht="15.75" customHeight="1">
      <c r="A973" s="5"/>
      <c r="B973" s="88"/>
      <c r="C973" s="88"/>
    </row>
    <row r="974" ht="15.75" customHeight="1">
      <c r="A974" s="5"/>
      <c r="B974" s="88"/>
      <c r="C974" s="88"/>
    </row>
    <row r="975" ht="15.75" customHeight="1">
      <c r="A975" s="5"/>
      <c r="B975" s="88"/>
      <c r="C975" s="88"/>
    </row>
    <row r="976" ht="15.75" customHeight="1">
      <c r="A976" s="5"/>
      <c r="B976" s="88"/>
      <c r="C976" s="88"/>
    </row>
    <row r="977" ht="15.75" customHeight="1">
      <c r="A977" s="5"/>
      <c r="B977" s="88"/>
      <c r="C977" s="88"/>
    </row>
    <row r="978" ht="15.75" customHeight="1">
      <c r="A978" s="5"/>
      <c r="B978" s="88"/>
      <c r="C978" s="88"/>
    </row>
    <row r="979" ht="15.75" customHeight="1">
      <c r="A979" s="5"/>
      <c r="B979" s="88"/>
      <c r="C979" s="88"/>
    </row>
    <row r="980" ht="15.75" customHeight="1">
      <c r="A980" s="5"/>
      <c r="B980" s="88"/>
      <c r="C980" s="88"/>
    </row>
    <row r="981" ht="15.75" customHeight="1">
      <c r="A981" s="5"/>
      <c r="B981" s="88"/>
      <c r="C981" s="88"/>
    </row>
    <row r="982" ht="15.75" customHeight="1">
      <c r="A982" s="5"/>
      <c r="B982" s="88"/>
      <c r="C982" s="88"/>
    </row>
    <row r="983" ht="15.75" customHeight="1">
      <c r="A983" s="5"/>
      <c r="B983" s="88"/>
      <c r="C983" s="88"/>
    </row>
    <row r="984" ht="15.75" customHeight="1">
      <c r="A984" s="5"/>
      <c r="B984" s="88"/>
      <c r="C984" s="88"/>
    </row>
    <row r="985" ht="15.75" customHeight="1">
      <c r="A985" s="5"/>
      <c r="B985" s="88"/>
      <c r="C985" s="88"/>
    </row>
    <row r="986" ht="15.75" customHeight="1">
      <c r="A986" s="5"/>
      <c r="B986" s="88"/>
      <c r="C986" s="88"/>
    </row>
    <row r="987" ht="15.75" customHeight="1">
      <c r="A987" s="5"/>
      <c r="B987" s="88"/>
      <c r="C987" s="88"/>
    </row>
    <row r="988" ht="15.75" customHeight="1">
      <c r="A988" s="5"/>
      <c r="B988" s="88"/>
      <c r="C988" s="88"/>
    </row>
    <row r="989" ht="15.75" customHeight="1">
      <c r="A989" s="5"/>
      <c r="B989" s="88"/>
      <c r="C989" s="88"/>
    </row>
    <row r="990" ht="15.75" customHeight="1">
      <c r="A990" s="5"/>
      <c r="B990" s="88"/>
      <c r="C990" s="88"/>
    </row>
    <row r="991" ht="15.75" customHeight="1">
      <c r="A991" s="5"/>
      <c r="B991" s="88"/>
      <c r="C991" s="88"/>
    </row>
    <row r="992" ht="15.75" customHeight="1">
      <c r="A992" s="5"/>
      <c r="B992" s="88"/>
      <c r="C992" s="88"/>
    </row>
    <row r="993" ht="15.75" customHeight="1">
      <c r="A993" s="5"/>
      <c r="B993" s="88"/>
      <c r="C993" s="88"/>
    </row>
    <row r="994" ht="15.75" customHeight="1">
      <c r="A994" s="5"/>
      <c r="B994" s="88"/>
      <c r="C994" s="88"/>
    </row>
    <row r="995" ht="15.75" customHeight="1">
      <c r="A995" s="5"/>
      <c r="B995" s="88"/>
      <c r="C995" s="88"/>
    </row>
    <row r="996" ht="15.75" customHeight="1">
      <c r="A996" s="5"/>
      <c r="B996" s="88"/>
      <c r="C996" s="88"/>
    </row>
    <row r="997" ht="15.75" customHeight="1">
      <c r="A997" s="5"/>
      <c r="B997" s="88"/>
      <c r="C997" s="88"/>
    </row>
    <row r="998" ht="15.75" customHeight="1">
      <c r="A998" s="5"/>
      <c r="B998" s="88"/>
      <c r="C998" s="88"/>
    </row>
    <row r="999" ht="15.75" customHeight="1">
      <c r="A999" s="5"/>
      <c r="B999" s="88"/>
      <c r="C999" s="88"/>
    </row>
    <row r="1000" ht="15.75" customHeight="1">
      <c r="A1000" s="5"/>
      <c r="B1000" s="88"/>
      <c r="C1000" s="88"/>
    </row>
  </sheetData>
  <mergeCells count="23">
    <mergeCell ref="A6:A7"/>
    <mergeCell ref="A8:A10"/>
    <mergeCell ref="A11:A12"/>
    <mergeCell ref="A13:A15"/>
    <mergeCell ref="A16:A18"/>
    <mergeCell ref="A20:A21"/>
    <mergeCell ref="A22:A35"/>
    <mergeCell ref="A36:A37"/>
    <mergeCell ref="F8:F10"/>
    <mergeCell ref="F11:F12"/>
    <mergeCell ref="F13:F15"/>
    <mergeCell ref="F16:F18"/>
    <mergeCell ref="F20:F21"/>
    <mergeCell ref="F22:F35"/>
    <mergeCell ref="F36:F37"/>
    <mergeCell ref="D38:E38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5" width="8.0"/>
    <col customWidth="1" min="6" max="17" width="5.71"/>
    <col customWidth="1" min="18" max="18" width="9.43"/>
    <col customWidth="1" min="19" max="26" width="10.71"/>
  </cols>
  <sheetData>
    <row r="1" ht="12.0" customHeight="1">
      <c r="A1" s="149" t="s">
        <v>140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ht="12.75" customHeight="1">
      <c r="A2" s="146" t="s">
        <v>141</v>
      </c>
      <c r="B2" s="150" t="s">
        <v>142</v>
      </c>
      <c r="C2" s="151" t="s">
        <v>143</v>
      </c>
      <c r="D2" s="152" t="s">
        <v>144</v>
      </c>
      <c r="E2" s="152" t="s">
        <v>145</v>
      </c>
      <c r="F2" s="153" t="s">
        <v>146</v>
      </c>
      <c r="G2" s="153" t="s">
        <v>147</v>
      </c>
      <c r="H2" s="153" t="s">
        <v>148</v>
      </c>
      <c r="I2" s="153" t="s">
        <v>149</v>
      </c>
      <c r="J2" s="153" t="s">
        <v>150</v>
      </c>
      <c r="K2" s="153" t="s">
        <v>151</v>
      </c>
      <c r="L2" s="153" t="s">
        <v>152</v>
      </c>
      <c r="M2" s="153" t="s">
        <v>153</v>
      </c>
      <c r="N2" s="153" t="s">
        <v>154</v>
      </c>
      <c r="O2" s="153" t="s">
        <v>155</v>
      </c>
      <c r="P2" s="153" t="s">
        <v>156</v>
      </c>
      <c r="Q2" s="154" t="s">
        <v>157</v>
      </c>
      <c r="R2" s="152" t="s">
        <v>158</v>
      </c>
      <c r="S2" s="85"/>
      <c r="T2" s="85"/>
      <c r="U2" s="85"/>
      <c r="V2" s="85"/>
      <c r="W2" s="85"/>
      <c r="X2" s="85"/>
      <c r="Y2" s="85"/>
      <c r="Z2" s="85"/>
    </row>
    <row r="3" ht="13.5" customHeight="1">
      <c r="A3" s="155">
        <v>1.0</v>
      </c>
      <c r="B3" s="156">
        <v>101.0</v>
      </c>
      <c r="C3" s="157" t="s">
        <v>159</v>
      </c>
      <c r="D3" s="158">
        <v>1500.0</v>
      </c>
      <c r="E3" s="159">
        <v>4800.0</v>
      </c>
      <c r="F3" s="160" t="s">
        <v>160</v>
      </c>
      <c r="G3" s="161"/>
      <c r="H3" s="161"/>
      <c r="I3" s="161"/>
      <c r="J3" s="162"/>
      <c r="K3" s="161"/>
      <c r="L3" s="161"/>
      <c r="M3" s="161"/>
      <c r="N3" s="161"/>
      <c r="O3" s="161"/>
      <c r="P3" s="161"/>
      <c r="Q3" s="163"/>
      <c r="R3" s="164">
        <f t="shared" ref="R3:R42" si="1">SUM(D3:Q3)</f>
        <v>6300</v>
      </c>
      <c r="S3" s="165"/>
      <c r="T3" s="165"/>
      <c r="U3" s="165"/>
      <c r="V3" s="165"/>
      <c r="W3" s="165"/>
      <c r="X3" s="165"/>
      <c r="Y3" s="165"/>
      <c r="Z3" s="165"/>
    </row>
    <row r="4" ht="13.5" customHeight="1">
      <c r="A4" s="166">
        <v>2.0</v>
      </c>
      <c r="B4" s="116">
        <v>102.0</v>
      </c>
      <c r="C4" s="167" t="s">
        <v>161</v>
      </c>
      <c r="D4" s="168">
        <v>0.0</v>
      </c>
      <c r="E4" s="169">
        <v>0.0</v>
      </c>
      <c r="F4" s="170" t="s">
        <v>160</v>
      </c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2"/>
      <c r="R4" s="173">
        <f t="shared" si="1"/>
        <v>0</v>
      </c>
      <c r="S4" s="165"/>
      <c r="T4" s="165"/>
      <c r="U4" s="165"/>
      <c r="V4" s="165"/>
      <c r="W4" s="165"/>
      <c r="X4" s="165"/>
      <c r="Y4" s="165"/>
      <c r="Z4" s="165"/>
    </row>
    <row r="5" ht="13.5" customHeight="1">
      <c r="A5" s="166">
        <v>3.0</v>
      </c>
      <c r="B5" s="116">
        <v>103.0</v>
      </c>
      <c r="C5" s="167" t="s">
        <v>162</v>
      </c>
      <c r="D5" s="168">
        <v>0.0</v>
      </c>
      <c r="E5" s="169">
        <v>0.0</v>
      </c>
      <c r="F5" s="170" t="s">
        <v>160</v>
      </c>
      <c r="G5" s="171" t="s">
        <v>160</v>
      </c>
      <c r="H5" s="171"/>
      <c r="I5" s="171"/>
      <c r="J5" s="171"/>
      <c r="K5" s="171"/>
      <c r="L5" s="171"/>
      <c r="M5" s="171"/>
      <c r="N5" s="171"/>
      <c r="O5" s="171"/>
      <c r="P5" s="171"/>
      <c r="Q5" s="172"/>
      <c r="R5" s="173">
        <f t="shared" si="1"/>
        <v>0</v>
      </c>
      <c r="S5" s="165"/>
      <c r="T5" s="165"/>
      <c r="U5" s="165"/>
      <c r="V5" s="165"/>
      <c r="W5" s="165"/>
      <c r="X5" s="165"/>
      <c r="Y5" s="165"/>
      <c r="Z5" s="165"/>
    </row>
    <row r="6" ht="13.5" customHeight="1">
      <c r="A6" s="166">
        <v>4.0</v>
      </c>
      <c r="B6" s="116">
        <v>104.0</v>
      </c>
      <c r="C6" s="167" t="s">
        <v>163</v>
      </c>
      <c r="D6" s="168">
        <v>0.0</v>
      </c>
      <c r="E6" s="169">
        <v>0.0</v>
      </c>
      <c r="F6" s="170" t="s">
        <v>160</v>
      </c>
      <c r="G6" s="171" t="s">
        <v>160</v>
      </c>
      <c r="H6" s="171"/>
      <c r="I6" s="171"/>
      <c r="J6" s="171"/>
      <c r="K6" s="171"/>
      <c r="L6" s="171"/>
      <c r="M6" s="171"/>
      <c r="N6" s="171"/>
      <c r="O6" s="171"/>
      <c r="P6" s="171"/>
      <c r="Q6" s="172"/>
      <c r="R6" s="173">
        <f t="shared" si="1"/>
        <v>0</v>
      </c>
      <c r="S6" s="165"/>
      <c r="T6" s="165"/>
      <c r="U6" s="165"/>
      <c r="V6" s="165"/>
      <c r="W6" s="165"/>
      <c r="X6" s="165"/>
      <c r="Y6" s="165"/>
      <c r="Z6" s="165"/>
    </row>
    <row r="7" ht="13.5" customHeight="1">
      <c r="A7" s="166">
        <v>5.0</v>
      </c>
      <c r="B7" s="116">
        <v>201.0</v>
      </c>
      <c r="C7" s="167" t="s">
        <v>164</v>
      </c>
      <c r="D7" s="168">
        <v>0.0</v>
      </c>
      <c r="E7" s="169">
        <v>0.0</v>
      </c>
      <c r="F7" s="170">
        <v>700.0</v>
      </c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2"/>
      <c r="R7" s="173">
        <f t="shared" si="1"/>
        <v>700</v>
      </c>
      <c r="S7" s="165"/>
      <c r="T7" s="165"/>
      <c r="U7" s="165"/>
      <c r="V7" s="165"/>
      <c r="W7" s="165"/>
      <c r="X7" s="165"/>
      <c r="Y7" s="165"/>
      <c r="Z7" s="165"/>
    </row>
    <row r="8" ht="13.5" customHeight="1">
      <c r="A8" s="166">
        <v>6.0</v>
      </c>
      <c r="B8" s="116">
        <v>202.0</v>
      </c>
      <c r="C8" s="167" t="s">
        <v>93</v>
      </c>
      <c r="D8" s="168">
        <v>0.0</v>
      </c>
      <c r="E8" s="169">
        <v>0.0</v>
      </c>
      <c r="F8" s="170" t="s">
        <v>160</v>
      </c>
      <c r="G8" s="171" t="s">
        <v>160</v>
      </c>
      <c r="H8" s="171"/>
      <c r="I8" s="171"/>
      <c r="J8" s="171"/>
      <c r="K8" s="171"/>
      <c r="L8" s="171"/>
      <c r="M8" s="171"/>
      <c r="N8" s="171"/>
      <c r="O8" s="171"/>
      <c r="P8" s="171"/>
      <c r="Q8" s="172"/>
      <c r="R8" s="173">
        <f t="shared" si="1"/>
        <v>0</v>
      </c>
      <c r="S8" s="165"/>
      <c r="T8" s="165"/>
      <c r="U8" s="165"/>
      <c r="V8" s="165"/>
      <c r="W8" s="165"/>
      <c r="X8" s="165"/>
      <c r="Y8" s="165"/>
      <c r="Z8" s="165"/>
    </row>
    <row r="9" ht="13.5" customHeight="1">
      <c r="A9" s="166">
        <v>7.0</v>
      </c>
      <c r="B9" s="116">
        <v>203.0</v>
      </c>
      <c r="C9" s="167" t="s">
        <v>165</v>
      </c>
      <c r="D9" s="168">
        <v>0.0</v>
      </c>
      <c r="E9" s="169">
        <v>0.0</v>
      </c>
      <c r="F9" s="170" t="s">
        <v>160</v>
      </c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2"/>
      <c r="R9" s="173">
        <f t="shared" si="1"/>
        <v>0</v>
      </c>
      <c r="S9" s="165"/>
      <c r="T9" s="165"/>
      <c r="U9" s="165"/>
      <c r="V9" s="165"/>
      <c r="W9" s="165"/>
      <c r="X9" s="165"/>
      <c r="Y9" s="165"/>
      <c r="Z9" s="165"/>
    </row>
    <row r="10" ht="13.5" customHeight="1">
      <c r="A10" s="166">
        <v>8.0</v>
      </c>
      <c r="B10" s="116">
        <v>204.0</v>
      </c>
      <c r="C10" s="167" t="s">
        <v>47</v>
      </c>
      <c r="D10" s="168">
        <v>0.0</v>
      </c>
      <c r="E10" s="169">
        <v>0.0</v>
      </c>
      <c r="F10" s="170" t="s">
        <v>160</v>
      </c>
      <c r="G10" s="171" t="s">
        <v>160</v>
      </c>
      <c r="H10" s="171"/>
      <c r="I10" s="171"/>
      <c r="J10" s="171"/>
      <c r="K10" s="171"/>
      <c r="L10" s="171"/>
      <c r="M10" s="171"/>
      <c r="N10" s="171"/>
      <c r="O10" s="171"/>
      <c r="P10" s="171"/>
      <c r="Q10" s="172"/>
      <c r="R10" s="173">
        <f t="shared" si="1"/>
        <v>0</v>
      </c>
      <c r="S10" s="165"/>
      <c r="T10" s="165"/>
      <c r="U10" s="165"/>
      <c r="V10" s="165"/>
      <c r="W10" s="165"/>
      <c r="X10" s="165"/>
      <c r="Y10" s="165"/>
      <c r="Z10" s="165"/>
    </row>
    <row r="11" ht="13.5" customHeight="1">
      <c r="A11" s="166">
        <v>9.0</v>
      </c>
      <c r="B11" s="116">
        <v>301.0</v>
      </c>
      <c r="C11" s="167" t="s">
        <v>166</v>
      </c>
      <c r="D11" s="168">
        <v>0.0</v>
      </c>
      <c r="E11" s="169">
        <v>0.0</v>
      </c>
      <c r="F11" s="170" t="s">
        <v>160</v>
      </c>
      <c r="G11" s="171" t="s">
        <v>160</v>
      </c>
      <c r="H11" s="171"/>
      <c r="I11" s="171"/>
      <c r="J11" s="171"/>
      <c r="K11" s="171"/>
      <c r="L11" s="171"/>
      <c r="M11" s="171"/>
      <c r="N11" s="171"/>
      <c r="O11" s="171"/>
      <c r="P11" s="171"/>
      <c r="Q11" s="172"/>
      <c r="R11" s="173">
        <f t="shared" si="1"/>
        <v>0</v>
      </c>
      <c r="S11" s="165"/>
      <c r="T11" s="165"/>
      <c r="U11" s="165"/>
      <c r="V11" s="165"/>
      <c r="W11" s="165"/>
      <c r="X11" s="165"/>
      <c r="Y11" s="165"/>
      <c r="Z11" s="165"/>
    </row>
    <row r="12" ht="13.5" customHeight="1">
      <c r="A12" s="166">
        <v>10.0</v>
      </c>
      <c r="B12" s="116">
        <v>302.0</v>
      </c>
      <c r="C12" s="167" t="s">
        <v>167</v>
      </c>
      <c r="D12" s="168">
        <v>0.0</v>
      </c>
      <c r="E12" s="169">
        <v>0.0</v>
      </c>
      <c r="F12" s="170" t="s">
        <v>160</v>
      </c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2"/>
      <c r="R12" s="173">
        <f t="shared" si="1"/>
        <v>0</v>
      </c>
      <c r="S12" s="165"/>
      <c r="T12" s="165"/>
      <c r="U12" s="165"/>
      <c r="V12" s="165"/>
      <c r="W12" s="165"/>
      <c r="X12" s="165"/>
      <c r="Y12" s="165"/>
      <c r="Z12" s="165"/>
    </row>
    <row r="13" ht="13.5" customHeight="1">
      <c r="A13" s="174">
        <v>11.0</v>
      </c>
      <c r="B13" s="175">
        <v>303.0</v>
      </c>
      <c r="C13" s="167" t="s">
        <v>168</v>
      </c>
      <c r="D13" s="168">
        <v>0.0</v>
      </c>
      <c r="E13" s="173">
        <v>8150.0</v>
      </c>
      <c r="F13" s="170">
        <v>800.0</v>
      </c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2"/>
      <c r="R13" s="173">
        <f t="shared" si="1"/>
        <v>8950</v>
      </c>
      <c r="S13" s="176"/>
      <c r="T13" s="176"/>
      <c r="U13" s="176"/>
      <c r="V13" s="176"/>
      <c r="W13" s="176"/>
      <c r="X13" s="176"/>
      <c r="Y13" s="176"/>
      <c r="Z13" s="176"/>
    </row>
    <row r="14" ht="13.5" customHeight="1">
      <c r="A14" s="166">
        <v>12.0</v>
      </c>
      <c r="B14" s="116">
        <v>304.0</v>
      </c>
      <c r="C14" s="167" t="s">
        <v>74</v>
      </c>
      <c r="D14" s="168">
        <v>0.0</v>
      </c>
      <c r="E14" s="169">
        <v>0.0</v>
      </c>
      <c r="F14" s="170" t="s">
        <v>160</v>
      </c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2"/>
      <c r="R14" s="173">
        <f t="shared" si="1"/>
        <v>0</v>
      </c>
      <c r="S14" s="165"/>
      <c r="T14" s="165"/>
      <c r="U14" s="165"/>
      <c r="V14" s="165"/>
      <c r="W14" s="165"/>
      <c r="X14" s="165"/>
      <c r="Y14" s="165"/>
      <c r="Z14" s="165"/>
    </row>
    <row r="15" ht="13.5" customHeight="1">
      <c r="A15" s="166">
        <v>13.0</v>
      </c>
      <c r="B15" s="116">
        <v>401.0</v>
      </c>
      <c r="C15" s="167" t="s">
        <v>56</v>
      </c>
      <c r="D15" s="168">
        <v>0.0</v>
      </c>
      <c r="E15" s="169">
        <v>0.0</v>
      </c>
      <c r="F15" s="170" t="s">
        <v>160</v>
      </c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2"/>
      <c r="R15" s="173">
        <f t="shared" si="1"/>
        <v>0</v>
      </c>
      <c r="S15" s="165"/>
      <c r="T15" s="165"/>
      <c r="U15" s="165"/>
      <c r="V15" s="165"/>
      <c r="W15" s="165"/>
      <c r="X15" s="165"/>
      <c r="Y15" s="165"/>
      <c r="Z15" s="165"/>
    </row>
    <row r="16" ht="13.5" customHeight="1">
      <c r="A16" s="166">
        <v>14.0</v>
      </c>
      <c r="B16" s="116">
        <v>402.0</v>
      </c>
      <c r="C16" s="167" t="s">
        <v>169</v>
      </c>
      <c r="D16" s="168">
        <v>0.0</v>
      </c>
      <c r="E16" s="169">
        <v>0.0</v>
      </c>
      <c r="F16" s="170" t="s">
        <v>160</v>
      </c>
      <c r="G16" s="171" t="s">
        <v>160</v>
      </c>
      <c r="H16" s="171" t="s">
        <v>160</v>
      </c>
      <c r="I16" s="171" t="s">
        <v>160</v>
      </c>
      <c r="J16" s="171"/>
      <c r="K16" s="171"/>
      <c r="L16" s="171"/>
      <c r="M16" s="171"/>
      <c r="N16" s="171"/>
      <c r="O16" s="171"/>
      <c r="P16" s="171"/>
      <c r="Q16" s="172"/>
      <c r="R16" s="173">
        <f t="shared" si="1"/>
        <v>0</v>
      </c>
      <c r="S16" s="165"/>
      <c r="T16" s="165"/>
      <c r="U16" s="165"/>
      <c r="V16" s="165"/>
      <c r="W16" s="165"/>
      <c r="X16" s="165"/>
      <c r="Y16" s="165"/>
      <c r="Z16" s="165"/>
    </row>
    <row r="17" ht="13.5" customHeight="1">
      <c r="A17" s="166">
        <v>15.0</v>
      </c>
      <c r="B17" s="116">
        <v>403.0</v>
      </c>
      <c r="C17" s="167" t="s">
        <v>58</v>
      </c>
      <c r="D17" s="168">
        <v>0.0</v>
      </c>
      <c r="E17" s="169">
        <v>0.0</v>
      </c>
      <c r="F17" s="170" t="s">
        <v>160</v>
      </c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2"/>
      <c r="R17" s="173">
        <f t="shared" si="1"/>
        <v>0</v>
      </c>
      <c r="S17" s="165"/>
      <c r="T17" s="165"/>
      <c r="U17" s="165"/>
      <c r="V17" s="165"/>
      <c r="W17" s="165"/>
      <c r="X17" s="165"/>
      <c r="Y17" s="165"/>
      <c r="Z17" s="165"/>
    </row>
    <row r="18" ht="13.5" customHeight="1">
      <c r="A18" s="166">
        <v>16.0</v>
      </c>
      <c r="B18" s="116">
        <v>404.0</v>
      </c>
      <c r="C18" s="177" t="s">
        <v>170</v>
      </c>
      <c r="D18" s="168">
        <v>0.0</v>
      </c>
      <c r="E18" s="173">
        <v>2250.0</v>
      </c>
      <c r="F18" s="170">
        <v>800.0</v>
      </c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2"/>
      <c r="R18" s="173">
        <f t="shared" si="1"/>
        <v>3050</v>
      </c>
      <c r="S18" s="165"/>
      <c r="T18" s="165"/>
      <c r="U18" s="165"/>
      <c r="V18" s="165"/>
      <c r="W18" s="165"/>
      <c r="X18" s="165"/>
      <c r="Y18" s="165"/>
      <c r="Z18" s="165"/>
    </row>
    <row r="19" ht="13.5" customHeight="1">
      <c r="A19" s="166">
        <v>17.0</v>
      </c>
      <c r="B19" s="116">
        <v>501.0</v>
      </c>
      <c r="C19" s="167" t="s">
        <v>171</v>
      </c>
      <c r="D19" s="168">
        <v>0.0</v>
      </c>
      <c r="E19" s="173">
        <v>0.0</v>
      </c>
      <c r="F19" s="170" t="s">
        <v>160</v>
      </c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2"/>
      <c r="R19" s="173">
        <f t="shared" si="1"/>
        <v>0</v>
      </c>
      <c r="S19" s="165"/>
      <c r="T19" s="165"/>
      <c r="U19" s="165"/>
      <c r="V19" s="165"/>
      <c r="W19" s="165"/>
      <c r="X19" s="165"/>
      <c r="Y19" s="165"/>
      <c r="Z19" s="165"/>
    </row>
    <row r="20" ht="13.5" customHeight="1">
      <c r="A20" s="166">
        <v>18.0</v>
      </c>
      <c r="B20" s="116">
        <v>502.0</v>
      </c>
      <c r="C20" s="167" t="s">
        <v>62</v>
      </c>
      <c r="D20" s="168">
        <v>0.0</v>
      </c>
      <c r="E20" s="169">
        <v>0.0</v>
      </c>
      <c r="F20" s="170" t="s">
        <v>160</v>
      </c>
      <c r="G20" s="171"/>
      <c r="H20" s="171"/>
      <c r="I20" s="171"/>
      <c r="J20" s="171"/>
      <c r="K20" s="178"/>
      <c r="L20" s="171"/>
      <c r="M20" s="171"/>
      <c r="N20" s="171"/>
      <c r="O20" s="171"/>
      <c r="P20" s="171"/>
      <c r="Q20" s="172"/>
      <c r="R20" s="173">
        <f t="shared" si="1"/>
        <v>0</v>
      </c>
      <c r="S20" s="165"/>
      <c r="T20" s="165"/>
      <c r="U20" s="165"/>
      <c r="V20" s="165"/>
      <c r="W20" s="165"/>
      <c r="X20" s="165"/>
      <c r="Y20" s="165"/>
      <c r="Z20" s="165"/>
    </row>
    <row r="21" ht="13.5" customHeight="1">
      <c r="A21" s="166">
        <v>19.0</v>
      </c>
      <c r="B21" s="116">
        <v>503.0</v>
      </c>
      <c r="C21" s="167" t="s">
        <v>51</v>
      </c>
      <c r="D21" s="168">
        <v>0.0</v>
      </c>
      <c r="E21" s="169">
        <v>0.0</v>
      </c>
      <c r="F21" s="170" t="s">
        <v>160</v>
      </c>
      <c r="G21" s="171" t="s">
        <v>160</v>
      </c>
      <c r="H21" s="171"/>
      <c r="I21" s="171"/>
      <c r="J21" s="171"/>
      <c r="K21" s="171"/>
      <c r="L21" s="171"/>
      <c r="M21" s="171"/>
      <c r="N21" s="171"/>
      <c r="O21" s="171"/>
      <c r="P21" s="171"/>
      <c r="Q21" s="172"/>
      <c r="R21" s="173">
        <f t="shared" si="1"/>
        <v>0</v>
      </c>
      <c r="S21" s="165"/>
      <c r="T21" s="165"/>
      <c r="U21" s="165"/>
      <c r="V21" s="165"/>
      <c r="W21" s="165"/>
      <c r="X21" s="165"/>
      <c r="Y21" s="165"/>
      <c r="Z21" s="165"/>
    </row>
    <row r="22" ht="13.5" customHeight="1">
      <c r="A22" s="166">
        <v>20.0</v>
      </c>
      <c r="B22" s="116">
        <v>504.0</v>
      </c>
      <c r="C22" s="167" t="s">
        <v>85</v>
      </c>
      <c r="D22" s="168">
        <v>0.0</v>
      </c>
      <c r="E22" s="169">
        <v>0.0</v>
      </c>
      <c r="F22" s="170" t="s">
        <v>160</v>
      </c>
      <c r="G22" s="171" t="s">
        <v>160</v>
      </c>
      <c r="H22" s="171" t="s">
        <v>160</v>
      </c>
      <c r="I22" s="171" t="s">
        <v>160</v>
      </c>
      <c r="J22" s="171" t="s">
        <v>160</v>
      </c>
      <c r="K22" s="171" t="s">
        <v>160</v>
      </c>
      <c r="L22" s="171" t="s">
        <v>160</v>
      </c>
      <c r="M22" s="171" t="s">
        <v>160</v>
      </c>
      <c r="N22" s="171" t="s">
        <v>160</v>
      </c>
      <c r="O22" s="171" t="s">
        <v>160</v>
      </c>
      <c r="P22" s="171" t="s">
        <v>160</v>
      </c>
      <c r="Q22" s="172" t="s">
        <v>160</v>
      </c>
      <c r="R22" s="173">
        <f t="shared" si="1"/>
        <v>0</v>
      </c>
      <c r="S22" s="165"/>
      <c r="T22" s="165"/>
      <c r="U22" s="165"/>
      <c r="V22" s="165"/>
      <c r="W22" s="165"/>
      <c r="X22" s="165"/>
      <c r="Y22" s="165"/>
      <c r="Z22" s="165"/>
    </row>
    <row r="23" ht="13.5" customHeight="1">
      <c r="A23" s="166">
        <v>21.0</v>
      </c>
      <c r="B23" s="116">
        <v>601.0</v>
      </c>
      <c r="C23" s="167" t="s">
        <v>172</v>
      </c>
      <c r="D23" s="168">
        <v>0.0</v>
      </c>
      <c r="E23" s="173">
        <v>0.0</v>
      </c>
      <c r="F23" s="170" t="s">
        <v>160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2"/>
      <c r="R23" s="173">
        <f t="shared" si="1"/>
        <v>0</v>
      </c>
      <c r="S23" s="165"/>
      <c r="T23" s="165"/>
      <c r="U23" s="165"/>
      <c r="V23" s="165"/>
      <c r="W23" s="165"/>
      <c r="X23" s="165"/>
      <c r="Y23" s="165"/>
      <c r="Z23" s="165"/>
    </row>
    <row r="24" ht="13.5" customHeight="1">
      <c r="A24" s="166">
        <v>22.0</v>
      </c>
      <c r="B24" s="116">
        <v>602.0</v>
      </c>
      <c r="C24" s="167" t="s">
        <v>173</v>
      </c>
      <c r="D24" s="168">
        <v>0.0</v>
      </c>
      <c r="E24" s="169">
        <v>0.0</v>
      </c>
      <c r="F24" s="170" t="s">
        <v>160</v>
      </c>
      <c r="G24" s="171" t="s">
        <v>160</v>
      </c>
      <c r="H24" s="171" t="s">
        <v>160</v>
      </c>
      <c r="I24" s="171"/>
      <c r="J24" s="171"/>
      <c r="K24" s="171"/>
      <c r="L24" s="171"/>
      <c r="M24" s="171"/>
      <c r="N24" s="171"/>
      <c r="O24" s="171"/>
      <c r="P24" s="171"/>
      <c r="Q24" s="172"/>
      <c r="R24" s="173">
        <f t="shared" si="1"/>
        <v>0</v>
      </c>
      <c r="S24" s="165"/>
      <c r="T24" s="165"/>
      <c r="U24" s="165"/>
      <c r="V24" s="165"/>
      <c r="W24" s="165"/>
      <c r="X24" s="165"/>
      <c r="Y24" s="165"/>
      <c r="Z24" s="165"/>
    </row>
    <row r="25" ht="13.5" customHeight="1">
      <c r="A25" s="166">
        <v>23.0</v>
      </c>
      <c r="B25" s="116">
        <v>603.0</v>
      </c>
      <c r="C25" s="167" t="s">
        <v>47</v>
      </c>
      <c r="D25" s="168">
        <v>0.0</v>
      </c>
      <c r="E25" s="169">
        <v>0.0</v>
      </c>
      <c r="F25" s="170" t="s">
        <v>160</v>
      </c>
      <c r="G25" s="171" t="s">
        <v>160</v>
      </c>
      <c r="H25" s="171"/>
      <c r="I25" s="171"/>
      <c r="J25" s="171"/>
      <c r="K25" s="171"/>
      <c r="L25" s="171"/>
      <c r="M25" s="171"/>
      <c r="N25" s="171"/>
      <c r="O25" s="171"/>
      <c r="P25" s="171"/>
      <c r="Q25" s="172"/>
      <c r="R25" s="173">
        <f t="shared" si="1"/>
        <v>0</v>
      </c>
      <c r="S25" s="165"/>
      <c r="T25" s="165"/>
      <c r="U25" s="165"/>
      <c r="V25" s="165"/>
      <c r="W25" s="165"/>
      <c r="X25" s="165"/>
      <c r="Y25" s="165"/>
      <c r="Z25" s="165"/>
    </row>
    <row r="26" ht="13.5" customHeight="1">
      <c r="A26" s="166">
        <v>24.0</v>
      </c>
      <c r="B26" s="116">
        <v>604.0</v>
      </c>
      <c r="C26" s="167" t="s">
        <v>54</v>
      </c>
      <c r="D26" s="168">
        <v>0.0</v>
      </c>
      <c r="E26" s="169">
        <v>0.0</v>
      </c>
      <c r="F26" s="170" t="s">
        <v>160</v>
      </c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2"/>
      <c r="R26" s="173">
        <f t="shared" si="1"/>
        <v>0</v>
      </c>
      <c r="S26" s="165"/>
      <c r="T26" s="165"/>
      <c r="U26" s="165"/>
      <c r="V26" s="165"/>
      <c r="W26" s="165"/>
      <c r="X26" s="165"/>
      <c r="Y26" s="165"/>
      <c r="Z26" s="165"/>
    </row>
    <row r="27" ht="13.5" customHeight="1">
      <c r="A27" s="166">
        <v>25.0</v>
      </c>
      <c r="B27" s="116">
        <v>701.0</v>
      </c>
      <c r="C27" s="167" t="s">
        <v>174</v>
      </c>
      <c r="D27" s="168">
        <v>0.0</v>
      </c>
      <c r="E27" s="173">
        <v>400.0</v>
      </c>
      <c r="F27" s="170">
        <v>700.0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2"/>
      <c r="R27" s="173">
        <f t="shared" si="1"/>
        <v>1100</v>
      </c>
      <c r="S27" s="165"/>
      <c r="T27" s="165"/>
      <c r="U27" s="165"/>
      <c r="V27" s="165"/>
      <c r="W27" s="165"/>
      <c r="X27" s="165"/>
      <c r="Y27" s="165"/>
      <c r="Z27" s="165"/>
    </row>
    <row r="28" ht="13.5" customHeight="1">
      <c r="A28" s="166">
        <v>26.0</v>
      </c>
      <c r="B28" s="116">
        <v>702.0</v>
      </c>
      <c r="C28" s="167" t="s">
        <v>175</v>
      </c>
      <c r="D28" s="168">
        <v>0.0</v>
      </c>
      <c r="E28" s="169">
        <v>0.0</v>
      </c>
      <c r="F28" s="170" t="s">
        <v>160</v>
      </c>
      <c r="G28" s="171" t="s">
        <v>160</v>
      </c>
      <c r="H28" s="171"/>
      <c r="I28" s="171"/>
      <c r="J28" s="171"/>
      <c r="K28" s="171"/>
      <c r="L28" s="171"/>
      <c r="M28" s="171"/>
      <c r="N28" s="171"/>
      <c r="O28" s="171"/>
      <c r="P28" s="171"/>
      <c r="Q28" s="172"/>
      <c r="R28" s="173">
        <f t="shared" si="1"/>
        <v>0</v>
      </c>
      <c r="S28" s="165"/>
      <c r="T28" s="165"/>
      <c r="U28" s="165"/>
      <c r="V28" s="165"/>
      <c r="W28" s="165"/>
      <c r="X28" s="165"/>
      <c r="Y28" s="165"/>
      <c r="Z28" s="165"/>
    </row>
    <row r="29" ht="13.5" customHeight="1">
      <c r="A29" s="166">
        <v>27.0</v>
      </c>
      <c r="B29" s="116">
        <v>703.0</v>
      </c>
      <c r="C29" s="167" t="s">
        <v>176</v>
      </c>
      <c r="D29" s="168">
        <v>0.0</v>
      </c>
      <c r="E29" s="173">
        <v>1200.0</v>
      </c>
      <c r="F29" s="170">
        <v>600.0</v>
      </c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2"/>
      <c r="R29" s="173">
        <f t="shared" si="1"/>
        <v>1800</v>
      </c>
      <c r="S29" s="165"/>
      <c r="T29" s="165"/>
      <c r="U29" s="165"/>
      <c r="V29" s="165"/>
      <c r="W29" s="165"/>
      <c r="X29" s="165"/>
      <c r="Y29" s="165"/>
      <c r="Z29" s="165"/>
    </row>
    <row r="30" ht="13.5" customHeight="1">
      <c r="A30" s="166">
        <v>28.0</v>
      </c>
      <c r="B30" s="116">
        <v>704.0</v>
      </c>
      <c r="C30" s="177" t="s">
        <v>177</v>
      </c>
      <c r="D30" s="168">
        <v>0.0</v>
      </c>
      <c r="E30" s="169">
        <v>0.0</v>
      </c>
      <c r="F30" s="170" t="s">
        <v>160</v>
      </c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2"/>
      <c r="R30" s="173">
        <f t="shared" si="1"/>
        <v>0</v>
      </c>
      <c r="S30" s="165"/>
      <c r="T30" s="165"/>
      <c r="U30" s="165"/>
      <c r="V30" s="165"/>
      <c r="W30" s="165"/>
      <c r="X30" s="165"/>
      <c r="Y30" s="165"/>
      <c r="Z30" s="165"/>
    </row>
    <row r="31" ht="13.5" customHeight="1">
      <c r="A31" s="166">
        <v>29.0</v>
      </c>
      <c r="B31" s="116">
        <v>801.0</v>
      </c>
      <c r="C31" s="167" t="s">
        <v>178</v>
      </c>
      <c r="D31" s="168">
        <v>0.0</v>
      </c>
      <c r="E31" s="169">
        <v>0.0</v>
      </c>
      <c r="F31" s="170" t="s">
        <v>160</v>
      </c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2"/>
      <c r="R31" s="173">
        <f t="shared" si="1"/>
        <v>0</v>
      </c>
      <c r="S31" s="165"/>
      <c r="T31" s="165"/>
      <c r="U31" s="165"/>
      <c r="V31" s="165"/>
      <c r="W31" s="165"/>
      <c r="X31" s="165"/>
      <c r="Y31" s="165"/>
      <c r="Z31" s="165"/>
    </row>
    <row r="32" ht="13.5" customHeight="1">
      <c r="A32" s="166">
        <v>30.0</v>
      </c>
      <c r="B32" s="116">
        <v>802.0</v>
      </c>
      <c r="C32" s="167" t="s">
        <v>75</v>
      </c>
      <c r="D32" s="168">
        <v>0.0</v>
      </c>
      <c r="E32" s="169">
        <v>0.0</v>
      </c>
      <c r="F32" s="170" t="s">
        <v>160</v>
      </c>
      <c r="G32" s="171" t="s">
        <v>160</v>
      </c>
      <c r="H32" s="171"/>
      <c r="I32" s="171"/>
      <c r="J32" s="171"/>
      <c r="K32" s="171"/>
      <c r="L32" s="171"/>
      <c r="M32" s="171"/>
      <c r="N32" s="171"/>
      <c r="O32" s="171"/>
      <c r="P32" s="171"/>
      <c r="Q32" s="172"/>
      <c r="R32" s="173">
        <f t="shared" si="1"/>
        <v>0</v>
      </c>
      <c r="S32" s="165"/>
      <c r="T32" s="165"/>
      <c r="U32" s="165"/>
      <c r="V32" s="165"/>
      <c r="W32" s="165"/>
      <c r="X32" s="165"/>
      <c r="Y32" s="165"/>
      <c r="Z32" s="165"/>
    </row>
    <row r="33" ht="13.5" customHeight="1">
      <c r="A33" s="166">
        <v>31.0</v>
      </c>
      <c r="B33" s="116">
        <v>803.0</v>
      </c>
      <c r="C33" s="167" t="s">
        <v>81</v>
      </c>
      <c r="D33" s="168">
        <v>0.0</v>
      </c>
      <c r="E33" s="169">
        <v>0.0</v>
      </c>
      <c r="F33" s="170" t="s">
        <v>160</v>
      </c>
      <c r="G33" s="171" t="s">
        <v>160</v>
      </c>
      <c r="H33" s="171"/>
      <c r="I33" s="171"/>
      <c r="J33" s="171"/>
      <c r="K33" s="171"/>
      <c r="L33" s="171"/>
      <c r="M33" s="171"/>
      <c r="N33" s="171"/>
      <c r="O33" s="171"/>
      <c r="P33" s="171"/>
      <c r="Q33" s="172"/>
      <c r="R33" s="173">
        <f t="shared" si="1"/>
        <v>0</v>
      </c>
      <c r="S33" s="165"/>
      <c r="T33" s="165"/>
      <c r="U33" s="165"/>
      <c r="V33" s="165"/>
      <c r="W33" s="165"/>
      <c r="X33" s="165"/>
      <c r="Y33" s="165"/>
      <c r="Z33" s="165"/>
    </row>
    <row r="34" ht="13.5" customHeight="1">
      <c r="A34" s="166">
        <v>32.0</v>
      </c>
      <c r="B34" s="116">
        <v>804.0</v>
      </c>
      <c r="C34" s="167" t="s">
        <v>179</v>
      </c>
      <c r="D34" s="168">
        <v>0.0</v>
      </c>
      <c r="E34" s="169">
        <v>0.0</v>
      </c>
      <c r="F34" s="170" t="s">
        <v>160</v>
      </c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2"/>
      <c r="R34" s="173">
        <f t="shared" si="1"/>
        <v>0</v>
      </c>
      <c r="S34" s="165"/>
      <c r="T34" s="165"/>
      <c r="U34" s="165"/>
      <c r="V34" s="165"/>
      <c r="W34" s="165"/>
      <c r="X34" s="165"/>
      <c r="Y34" s="165"/>
      <c r="Z34" s="165"/>
    </row>
    <row r="35" ht="13.5" customHeight="1">
      <c r="A35" s="166">
        <v>33.0</v>
      </c>
      <c r="B35" s="116">
        <v>901.0</v>
      </c>
      <c r="C35" s="167" t="s">
        <v>180</v>
      </c>
      <c r="D35" s="168">
        <v>0.0</v>
      </c>
      <c r="E35" s="173">
        <v>3200.0</v>
      </c>
      <c r="F35" s="170">
        <v>800.0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2"/>
      <c r="R35" s="173">
        <f t="shared" si="1"/>
        <v>4000</v>
      </c>
      <c r="S35" s="165"/>
      <c r="T35" s="165"/>
      <c r="U35" s="165"/>
      <c r="V35" s="165"/>
      <c r="W35" s="165"/>
      <c r="X35" s="165"/>
      <c r="Y35" s="165"/>
      <c r="Z35" s="165"/>
    </row>
    <row r="36" ht="13.5" customHeight="1">
      <c r="A36" s="166">
        <v>34.0</v>
      </c>
      <c r="B36" s="116">
        <v>902.0</v>
      </c>
      <c r="C36" s="167" t="s">
        <v>83</v>
      </c>
      <c r="D36" s="168">
        <v>0.0</v>
      </c>
      <c r="E36" s="169">
        <v>0.0</v>
      </c>
      <c r="F36" s="170" t="s">
        <v>160</v>
      </c>
      <c r="G36" s="171" t="s">
        <v>160</v>
      </c>
      <c r="H36" s="171"/>
      <c r="I36" s="171"/>
      <c r="J36" s="171"/>
      <c r="K36" s="171"/>
      <c r="L36" s="171"/>
      <c r="M36" s="171"/>
      <c r="N36" s="171"/>
      <c r="O36" s="171"/>
      <c r="P36" s="171"/>
      <c r="Q36" s="172"/>
      <c r="R36" s="173">
        <f t="shared" si="1"/>
        <v>0</v>
      </c>
      <c r="S36" s="165"/>
      <c r="T36" s="165"/>
      <c r="U36" s="165"/>
      <c r="V36" s="165"/>
      <c r="W36" s="165"/>
      <c r="X36" s="165"/>
      <c r="Y36" s="165"/>
      <c r="Z36" s="165"/>
    </row>
    <row r="37" ht="13.5" customHeight="1">
      <c r="A37" s="166">
        <v>35.0</v>
      </c>
      <c r="B37" s="116">
        <v>903.0</v>
      </c>
      <c r="C37" s="167" t="s">
        <v>67</v>
      </c>
      <c r="D37" s="168">
        <v>0.0</v>
      </c>
      <c r="E37" s="169">
        <v>0.0</v>
      </c>
      <c r="F37" s="170" t="s">
        <v>160</v>
      </c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2"/>
      <c r="R37" s="173">
        <f t="shared" si="1"/>
        <v>0</v>
      </c>
      <c r="S37" s="165"/>
      <c r="T37" s="165"/>
      <c r="U37" s="165"/>
      <c r="V37" s="165"/>
      <c r="W37" s="165"/>
      <c r="X37" s="165"/>
      <c r="Y37" s="165"/>
      <c r="Z37" s="165"/>
    </row>
    <row r="38" ht="13.5" customHeight="1">
      <c r="A38" s="166">
        <v>36.0</v>
      </c>
      <c r="B38" s="116">
        <v>904.0</v>
      </c>
      <c r="C38" s="167" t="s">
        <v>45</v>
      </c>
      <c r="D38" s="168">
        <v>0.0</v>
      </c>
      <c r="E38" s="169">
        <v>0.0</v>
      </c>
      <c r="F38" s="170" t="s">
        <v>160</v>
      </c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2"/>
      <c r="R38" s="173">
        <f t="shared" si="1"/>
        <v>0</v>
      </c>
      <c r="S38" s="165"/>
      <c r="T38" s="165"/>
      <c r="U38" s="165"/>
      <c r="V38" s="165"/>
      <c r="W38" s="165"/>
      <c r="X38" s="165"/>
      <c r="Y38" s="165"/>
      <c r="Z38" s="165"/>
    </row>
    <row r="39" ht="13.5" customHeight="1">
      <c r="A39" s="166">
        <v>37.0</v>
      </c>
      <c r="B39" s="116">
        <v>1001.0</v>
      </c>
      <c r="C39" s="167" t="s">
        <v>181</v>
      </c>
      <c r="D39" s="168">
        <v>0.0</v>
      </c>
      <c r="E39" s="169">
        <v>0.0</v>
      </c>
      <c r="F39" s="170" t="s">
        <v>160</v>
      </c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2"/>
      <c r="R39" s="173">
        <f t="shared" si="1"/>
        <v>0</v>
      </c>
      <c r="S39" s="165"/>
      <c r="T39" s="165"/>
      <c r="U39" s="165"/>
      <c r="V39" s="165"/>
      <c r="W39" s="165"/>
      <c r="X39" s="165"/>
      <c r="Y39" s="165"/>
      <c r="Z39" s="165"/>
    </row>
    <row r="40" ht="13.5" customHeight="1">
      <c r="A40" s="174">
        <v>38.0</v>
      </c>
      <c r="B40" s="175">
        <v>1002.0</v>
      </c>
      <c r="C40" s="167" t="s">
        <v>182</v>
      </c>
      <c r="D40" s="168">
        <v>30000.0</v>
      </c>
      <c r="E40" s="173">
        <v>7200.0</v>
      </c>
      <c r="F40" s="179">
        <v>600.0</v>
      </c>
      <c r="G40" s="171">
        <v>600.0</v>
      </c>
      <c r="H40" s="171"/>
      <c r="I40" s="171"/>
      <c r="J40" s="171"/>
      <c r="K40" s="171"/>
      <c r="L40" s="171"/>
      <c r="M40" s="171"/>
      <c r="N40" s="171"/>
      <c r="O40" s="171"/>
      <c r="P40" s="171"/>
      <c r="Q40" s="172"/>
      <c r="R40" s="173">
        <f t="shared" si="1"/>
        <v>38400</v>
      </c>
      <c r="S40" s="180"/>
      <c r="T40" s="180"/>
      <c r="U40" s="180"/>
      <c r="V40" s="180"/>
      <c r="W40" s="180"/>
      <c r="X40" s="180"/>
      <c r="Y40" s="180"/>
      <c r="Z40" s="180"/>
    </row>
    <row r="41" ht="13.5" customHeight="1">
      <c r="A41" s="174">
        <v>39.0</v>
      </c>
      <c r="B41" s="175">
        <v>1003.0</v>
      </c>
      <c r="C41" s="167" t="s">
        <v>183</v>
      </c>
      <c r="D41" s="168">
        <v>0.0</v>
      </c>
      <c r="E41" s="173">
        <v>3600.0</v>
      </c>
      <c r="F41" s="170">
        <v>600.0</v>
      </c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2"/>
      <c r="R41" s="173">
        <f t="shared" si="1"/>
        <v>4200</v>
      </c>
      <c r="S41" s="181"/>
      <c r="T41" s="181"/>
      <c r="U41" s="181"/>
      <c r="V41" s="181"/>
      <c r="W41" s="181"/>
      <c r="X41" s="181"/>
      <c r="Y41" s="181"/>
      <c r="Z41" s="181"/>
    </row>
    <row r="42" ht="13.5" customHeight="1">
      <c r="A42" s="182">
        <v>40.0</v>
      </c>
      <c r="B42" s="123">
        <v>1004.0</v>
      </c>
      <c r="C42" s="183" t="s">
        <v>59</v>
      </c>
      <c r="D42" s="184">
        <v>0.0</v>
      </c>
      <c r="E42" s="185">
        <v>0.0</v>
      </c>
      <c r="F42" s="186" t="s">
        <v>160</v>
      </c>
      <c r="G42" s="187"/>
      <c r="H42" s="187"/>
      <c r="I42" s="187"/>
      <c r="J42" s="188"/>
      <c r="K42" s="187"/>
      <c r="L42" s="187"/>
      <c r="M42" s="187"/>
      <c r="N42" s="187"/>
      <c r="O42" s="187"/>
      <c r="P42" s="187"/>
      <c r="Q42" s="189"/>
      <c r="R42" s="173">
        <f t="shared" si="1"/>
        <v>0</v>
      </c>
      <c r="S42" s="165"/>
      <c r="T42" s="165"/>
      <c r="U42" s="165"/>
      <c r="V42" s="165"/>
      <c r="W42" s="165"/>
      <c r="X42" s="165"/>
      <c r="Y42" s="165"/>
      <c r="Z42" s="165"/>
    </row>
    <row r="43" ht="13.5" customHeight="1">
      <c r="A43" s="165"/>
      <c r="B43" s="165"/>
      <c r="C43" s="190"/>
      <c r="D43" s="191">
        <f t="shared" ref="D43:R43" si="2">SUM(D3:D42)</f>
        <v>31500</v>
      </c>
      <c r="E43" s="192">
        <f t="shared" si="2"/>
        <v>30800</v>
      </c>
      <c r="F43" s="193">
        <f t="shared" si="2"/>
        <v>5600</v>
      </c>
      <c r="G43" s="193">
        <f t="shared" si="2"/>
        <v>600</v>
      </c>
      <c r="H43" s="193">
        <f t="shared" si="2"/>
        <v>0</v>
      </c>
      <c r="I43" s="193">
        <f t="shared" si="2"/>
        <v>0</v>
      </c>
      <c r="J43" s="193">
        <f t="shared" si="2"/>
        <v>0</v>
      </c>
      <c r="K43" s="193">
        <f t="shared" si="2"/>
        <v>0</v>
      </c>
      <c r="L43" s="193">
        <f t="shared" si="2"/>
        <v>0</v>
      </c>
      <c r="M43" s="193">
        <f t="shared" si="2"/>
        <v>0</v>
      </c>
      <c r="N43" s="193">
        <f t="shared" si="2"/>
        <v>0</v>
      </c>
      <c r="O43" s="193">
        <f t="shared" si="2"/>
        <v>0</v>
      </c>
      <c r="P43" s="193">
        <f t="shared" si="2"/>
        <v>0</v>
      </c>
      <c r="Q43" s="194">
        <f t="shared" si="2"/>
        <v>0</v>
      </c>
      <c r="R43" s="195">
        <f t="shared" si="2"/>
        <v>68500</v>
      </c>
      <c r="S43" s="196"/>
      <c r="T43" s="196"/>
      <c r="U43" s="196"/>
      <c r="V43" s="196"/>
      <c r="W43" s="196"/>
      <c r="X43" s="196"/>
      <c r="Y43" s="196"/>
      <c r="Z43" s="196"/>
    </row>
    <row r="44" ht="12.0" customHeight="1">
      <c r="A44" s="165"/>
      <c r="B44" s="165"/>
      <c r="C44" s="190"/>
      <c r="D44" s="190"/>
      <c r="E44" s="197"/>
      <c r="F44" s="198"/>
      <c r="G44" s="198"/>
      <c r="H44" s="198"/>
      <c r="I44" s="199"/>
      <c r="J44" s="199"/>
      <c r="K44" s="199"/>
      <c r="L44" s="199"/>
      <c r="M44" s="199"/>
      <c r="N44" s="199"/>
      <c r="O44" s="199"/>
      <c r="P44" s="199"/>
      <c r="Q44" s="199"/>
      <c r="R44" s="199"/>
    </row>
    <row r="45" ht="15.75" customHeight="1">
      <c r="A45" s="200"/>
      <c r="B45" s="200"/>
      <c r="C45" s="198"/>
      <c r="D45" s="198"/>
      <c r="E45" s="197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</row>
    <row r="46" ht="15.75" customHeight="1">
      <c r="A46" s="200"/>
      <c r="B46" s="200"/>
      <c r="C46" s="198"/>
      <c r="D46" s="198"/>
      <c r="E46" s="197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</row>
    <row r="47" ht="15.75" customHeight="1">
      <c r="A47" s="200"/>
      <c r="B47" s="200"/>
      <c r="C47" s="198"/>
      <c r="D47" s="198"/>
      <c r="E47" s="197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</row>
    <row r="48" ht="15.75" customHeight="1">
      <c r="A48" s="200"/>
      <c r="B48" s="200"/>
      <c r="C48" s="198"/>
      <c r="D48" s="198"/>
      <c r="E48" s="197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</row>
    <row r="49" ht="15.75" customHeight="1">
      <c r="A49" s="200"/>
      <c r="B49" s="200"/>
      <c r="C49" s="198"/>
      <c r="D49" s="198"/>
      <c r="E49" s="197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</row>
    <row r="50" ht="15.75" customHeight="1">
      <c r="A50" s="200"/>
      <c r="B50" s="200"/>
      <c r="C50" s="198"/>
      <c r="D50" s="198"/>
      <c r="E50" s="197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</row>
    <row r="51" ht="15.75" customHeight="1">
      <c r="A51" s="200"/>
      <c r="B51" s="200"/>
      <c r="C51" s="198"/>
      <c r="D51" s="198"/>
      <c r="E51" s="197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</row>
    <row r="52" ht="15.75" customHeight="1">
      <c r="A52" s="200"/>
      <c r="B52" s="200"/>
      <c r="C52" s="198"/>
      <c r="D52" s="198"/>
      <c r="E52" s="197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</row>
    <row r="53" ht="15.75" customHeight="1">
      <c r="A53" s="200"/>
      <c r="B53" s="200"/>
      <c r="C53" s="198"/>
      <c r="D53" s="198"/>
      <c r="E53" s="197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</row>
    <row r="54" ht="15.75" customHeight="1">
      <c r="A54" s="200"/>
      <c r="B54" s="200"/>
      <c r="C54" s="198"/>
      <c r="D54" s="198"/>
      <c r="E54" s="197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</row>
    <row r="55" ht="15.75" customHeight="1">
      <c r="A55" s="200"/>
      <c r="B55" s="200"/>
      <c r="C55" s="198"/>
      <c r="D55" s="198"/>
      <c r="E55" s="197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</row>
    <row r="56" ht="15.75" customHeight="1">
      <c r="A56" s="200"/>
      <c r="B56" s="200"/>
      <c r="C56" s="198"/>
      <c r="D56" s="198"/>
      <c r="E56" s="197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</row>
    <row r="57" ht="15.75" customHeight="1">
      <c r="A57" s="200"/>
      <c r="B57" s="200"/>
      <c r="C57" s="198"/>
      <c r="D57" s="198"/>
      <c r="E57" s="197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</row>
    <row r="58" ht="15.75" customHeight="1">
      <c r="A58" s="200"/>
      <c r="B58" s="200"/>
      <c r="C58" s="198"/>
      <c r="D58" s="198"/>
      <c r="E58" s="197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</row>
    <row r="59" ht="15.75" customHeight="1">
      <c r="A59" s="200"/>
      <c r="B59" s="200"/>
      <c r="C59" s="198"/>
      <c r="D59" s="198"/>
      <c r="E59" s="197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</row>
    <row r="60" ht="15.75" customHeight="1">
      <c r="A60" s="200"/>
      <c r="B60" s="200"/>
      <c r="C60" s="198"/>
      <c r="D60" s="198"/>
      <c r="E60" s="197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</row>
    <row r="61" ht="15.75" customHeight="1">
      <c r="A61" s="200"/>
      <c r="B61" s="200"/>
      <c r="C61" s="198"/>
      <c r="D61" s="198"/>
      <c r="E61" s="197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</row>
    <row r="62" ht="15.75" customHeight="1">
      <c r="A62" s="200"/>
      <c r="B62" s="200"/>
      <c r="C62" s="198"/>
      <c r="D62" s="198"/>
      <c r="E62" s="197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</row>
    <row r="63" ht="15.75" customHeight="1">
      <c r="A63" s="200"/>
      <c r="B63" s="200"/>
      <c r="C63" s="198"/>
      <c r="D63" s="198"/>
      <c r="E63" s="197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</row>
    <row r="64" ht="15.75" customHeight="1">
      <c r="A64" s="200"/>
      <c r="B64" s="200"/>
      <c r="C64" s="198"/>
      <c r="D64" s="198"/>
      <c r="E64" s="197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</row>
    <row r="65" ht="15.75" customHeight="1">
      <c r="A65" s="200"/>
      <c r="B65" s="200"/>
      <c r="C65" s="198"/>
      <c r="D65" s="198"/>
      <c r="E65" s="197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</row>
    <row r="66" ht="15.75" customHeight="1">
      <c r="A66" s="200"/>
      <c r="B66" s="200"/>
      <c r="C66" s="198"/>
      <c r="D66" s="198"/>
      <c r="E66" s="197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</row>
    <row r="67" ht="15.75" customHeight="1">
      <c r="A67" s="200"/>
      <c r="B67" s="200"/>
      <c r="C67" s="198"/>
      <c r="D67" s="198"/>
      <c r="E67" s="197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</row>
    <row r="68" ht="15.75" customHeight="1">
      <c r="A68" s="200"/>
      <c r="B68" s="200"/>
      <c r="C68" s="198"/>
      <c r="D68" s="198"/>
      <c r="E68" s="197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</row>
    <row r="69" ht="15.75" customHeight="1">
      <c r="A69" s="200"/>
      <c r="B69" s="200"/>
      <c r="C69" s="198"/>
      <c r="D69" s="198"/>
      <c r="E69" s="197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</row>
    <row r="70" ht="15.75" customHeight="1">
      <c r="A70" s="200"/>
      <c r="B70" s="200"/>
      <c r="C70" s="198"/>
      <c r="D70" s="198"/>
      <c r="E70" s="197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</row>
    <row r="71" ht="15.75" customHeight="1">
      <c r="A71" s="200"/>
      <c r="B71" s="200"/>
      <c r="C71" s="198"/>
      <c r="D71" s="198"/>
      <c r="E71" s="197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</row>
    <row r="72" ht="15.75" customHeight="1">
      <c r="A72" s="200"/>
      <c r="B72" s="200"/>
      <c r="C72" s="198"/>
      <c r="D72" s="198"/>
      <c r="E72" s="197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</row>
    <row r="73" ht="15.75" customHeight="1">
      <c r="A73" s="200"/>
      <c r="B73" s="200"/>
      <c r="C73" s="198"/>
      <c r="D73" s="198"/>
      <c r="E73" s="197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</row>
    <row r="74" ht="15.75" customHeight="1">
      <c r="A74" s="200"/>
      <c r="B74" s="200"/>
      <c r="C74" s="198"/>
      <c r="D74" s="198"/>
      <c r="E74" s="197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</row>
    <row r="75" ht="15.75" customHeight="1">
      <c r="A75" s="200"/>
      <c r="B75" s="200"/>
      <c r="C75" s="198"/>
      <c r="D75" s="198"/>
      <c r="E75" s="197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</row>
    <row r="76" ht="15.75" customHeight="1">
      <c r="A76" s="200"/>
      <c r="B76" s="200"/>
      <c r="C76" s="198"/>
      <c r="D76" s="198"/>
      <c r="E76" s="197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</row>
    <row r="77" ht="15.75" customHeight="1">
      <c r="A77" s="200"/>
      <c r="B77" s="200"/>
      <c r="C77" s="198"/>
      <c r="D77" s="198"/>
      <c r="E77" s="197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</row>
    <row r="78" ht="15.75" customHeight="1">
      <c r="A78" s="200"/>
      <c r="B78" s="200"/>
      <c r="C78" s="198"/>
      <c r="D78" s="198"/>
      <c r="E78" s="197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</row>
    <row r="79" ht="15.75" customHeight="1">
      <c r="A79" s="200"/>
      <c r="B79" s="200"/>
      <c r="C79" s="198"/>
      <c r="D79" s="198"/>
      <c r="E79" s="197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</row>
    <row r="80" ht="15.75" customHeight="1">
      <c r="A80" s="200"/>
      <c r="B80" s="200"/>
      <c r="C80" s="198"/>
      <c r="D80" s="198"/>
      <c r="E80" s="197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</row>
    <row r="81" ht="15.75" customHeight="1">
      <c r="A81" s="200"/>
      <c r="B81" s="200"/>
      <c r="C81" s="198"/>
      <c r="D81" s="198"/>
      <c r="E81" s="197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</row>
    <row r="82" ht="15.75" customHeight="1">
      <c r="A82" s="200"/>
      <c r="B82" s="200"/>
      <c r="C82" s="198"/>
      <c r="D82" s="198"/>
      <c r="E82" s="197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</row>
    <row r="83" ht="15.75" customHeight="1">
      <c r="A83" s="200"/>
      <c r="B83" s="200"/>
      <c r="C83" s="198"/>
      <c r="D83" s="198"/>
      <c r="E83" s="197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</row>
    <row r="84" ht="15.75" customHeight="1">
      <c r="A84" s="200"/>
      <c r="B84" s="200"/>
      <c r="C84" s="198"/>
      <c r="D84" s="198"/>
      <c r="E84" s="197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</row>
    <row r="85" ht="15.75" customHeight="1">
      <c r="A85" s="200"/>
      <c r="B85" s="200"/>
      <c r="C85" s="198"/>
      <c r="D85" s="198"/>
      <c r="E85" s="197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</row>
    <row r="86" ht="15.75" customHeight="1">
      <c r="A86" s="200"/>
      <c r="B86" s="200"/>
      <c r="C86" s="198"/>
      <c r="D86" s="198"/>
      <c r="E86" s="197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</row>
    <row r="87" ht="15.75" customHeight="1">
      <c r="A87" s="200"/>
      <c r="B87" s="200"/>
      <c r="C87" s="198"/>
      <c r="D87" s="198"/>
      <c r="E87" s="197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</row>
    <row r="88" ht="15.75" customHeight="1">
      <c r="A88" s="200"/>
      <c r="B88" s="200"/>
      <c r="C88" s="198"/>
      <c r="D88" s="198"/>
      <c r="E88" s="197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</row>
    <row r="89" ht="15.75" customHeight="1">
      <c r="A89" s="200"/>
      <c r="B89" s="200"/>
      <c r="C89" s="198"/>
      <c r="D89" s="198"/>
      <c r="E89" s="197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</row>
    <row r="90" ht="15.75" customHeight="1">
      <c r="A90" s="200"/>
      <c r="B90" s="200"/>
      <c r="C90" s="198"/>
      <c r="D90" s="198"/>
      <c r="E90" s="197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</row>
    <row r="91" ht="15.75" customHeight="1">
      <c r="A91" s="200"/>
      <c r="B91" s="200"/>
      <c r="C91" s="198"/>
      <c r="D91" s="198"/>
      <c r="E91" s="197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</row>
    <row r="92" ht="15.75" customHeight="1">
      <c r="A92" s="200"/>
      <c r="B92" s="200"/>
      <c r="C92" s="198"/>
      <c r="D92" s="198"/>
      <c r="E92" s="197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</row>
    <row r="93" ht="15.75" customHeight="1">
      <c r="A93" s="200"/>
      <c r="B93" s="200"/>
      <c r="C93" s="198"/>
      <c r="D93" s="198"/>
      <c r="E93" s="197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</row>
    <row r="94" ht="15.75" customHeight="1">
      <c r="A94" s="200"/>
      <c r="B94" s="200"/>
      <c r="C94" s="198"/>
      <c r="D94" s="198"/>
      <c r="E94" s="197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</row>
    <row r="95" ht="15.75" customHeight="1">
      <c r="A95" s="200"/>
      <c r="B95" s="200"/>
      <c r="C95" s="198"/>
      <c r="D95" s="198"/>
      <c r="E95" s="197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</row>
    <row r="96" ht="15.75" customHeight="1">
      <c r="A96" s="200"/>
      <c r="B96" s="200"/>
      <c r="C96" s="198"/>
      <c r="D96" s="198"/>
      <c r="E96" s="197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</row>
    <row r="97" ht="15.75" customHeight="1">
      <c r="A97" s="200"/>
      <c r="B97" s="200"/>
      <c r="C97" s="198"/>
      <c r="D97" s="198"/>
      <c r="E97" s="197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</row>
    <row r="98" ht="15.75" customHeight="1">
      <c r="A98" s="200"/>
      <c r="B98" s="200"/>
      <c r="C98" s="198"/>
      <c r="D98" s="198"/>
      <c r="E98" s="197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</row>
    <row r="99" ht="15.75" customHeight="1">
      <c r="A99" s="200"/>
      <c r="B99" s="200"/>
      <c r="C99" s="198"/>
      <c r="D99" s="198"/>
      <c r="E99" s="197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</row>
    <row r="100" ht="15.75" customHeight="1">
      <c r="A100" s="200"/>
      <c r="B100" s="200"/>
      <c r="C100" s="198"/>
      <c r="D100" s="198"/>
      <c r="E100" s="197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</row>
    <row r="101" ht="15.75" customHeight="1">
      <c r="A101" s="200"/>
      <c r="B101" s="200"/>
      <c r="C101" s="198"/>
      <c r="D101" s="198"/>
      <c r="E101" s="197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</row>
    <row r="102" ht="15.75" customHeight="1">
      <c r="A102" s="200"/>
      <c r="B102" s="200"/>
      <c r="C102" s="198"/>
      <c r="D102" s="198"/>
      <c r="E102" s="197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</row>
    <row r="103" ht="15.75" customHeight="1">
      <c r="A103" s="200"/>
      <c r="B103" s="200"/>
      <c r="C103" s="198"/>
      <c r="D103" s="198"/>
      <c r="E103" s="197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</row>
    <row r="104" ht="15.75" customHeight="1">
      <c r="A104" s="200"/>
      <c r="B104" s="200"/>
      <c r="C104" s="198"/>
      <c r="D104" s="198"/>
      <c r="E104" s="197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</row>
    <row r="105" ht="15.75" customHeight="1">
      <c r="A105" s="200"/>
      <c r="B105" s="200"/>
      <c r="C105" s="198"/>
      <c r="D105" s="198"/>
      <c r="E105" s="197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</row>
    <row r="106" ht="15.75" customHeight="1">
      <c r="A106" s="200"/>
      <c r="B106" s="200"/>
      <c r="C106" s="198"/>
      <c r="D106" s="198"/>
      <c r="E106" s="197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</row>
    <row r="107" ht="15.75" customHeight="1">
      <c r="A107" s="200"/>
      <c r="B107" s="200"/>
      <c r="C107" s="198"/>
      <c r="D107" s="198"/>
      <c r="E107" s="197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</row>
    <row r="108" ht="15.75" customHeight="1">
      <c r="A108" s="200"/>
      <c r="B108" s="200"/>
      <c r="C108" s="198"/>
      <c r="D108" s="198"/>
      <c r="E108" s="197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</row>
    <row r="109" ht="15.75" customHeight="1">
      <c r="A109" s="200"/>
      <c r="B109" s="200"/>
      <c r="C109" s="198"/>
      <c r="D109" s="198"/>
      <c r="E109" s="197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</row>
    <row r="110" ht="15.75" customHeight="1">
      <c r="A110" s="200"/>
      <c r="B110" s="200"/>
      <c r="C110" s="198"/>
      <c r="D110" s="198"/>
      <c r="E110" s="197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</row>
    <row r="111" ht="15.75" customHeight="1">
      <c r="A111" s="200"/>
      <c r="B111" s="200"/>
      <c r="C111" s="198"/>
      <c r="D111" s="198"/>
      <c r="E111" s="197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</row>
    <row r="112" ht="15.75" customHeight="1">
      <c r="A112" s="200"/>
      <c r="B112" s="200"/>
      <c r="C112" s="198"/>
      <c r="D112" s="198"/>
      <c r="E112" s="197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</row>
    <row r="113" ht="15.75" customHeight="1">
      <c r="A113" s="200"/>
      <c r="B113" s="200"/>
      <c r="C113" s="198"/>
      <c r="D113" s="198"/>
      <c r="E113" s="197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</row>
    <row r="114" ht="15.75" customHeight="1">
      <c r="A114" s="200"/>
      <c r="B114" s="200"/>
      <c r="C114" s="198"/>
      <c r="D114" s="198"/>
      <c r="E114" s="197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</row>
    <row r="115" ht="15.75" customHeight="1">
      <c r="A115" s="200"/>
      <c r="B115" s="200"/>
      <c r="C115" s="198"/>
      <c r="D115" s="198"/>
      <c r="E115" s="197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ht="15.75" customHeight="1">
      <c r="A116" s="200"/>
      <c r="B116" s="200"/>
      <c r="C116" s="198"/>
      <c r="D116" s="198"/>
      <c r="E116" s="197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ht="15.75" customHeight="1">
      <c r="A117" s="200"/>
      <c r="B117" s="200"/>
      <c r="C117" s="198"/>
      <c r="D117" s="198"/>
      <c r="E117" s="197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</row>
    <row r="118" ht="15.75" customHeight="1">
      <c r="A118" s="200"/>
      <c r="B118" s="200"/>
      <c r="C118" s="198"/>
      <c r="D118" s="198"/>
      <c r="E118" s="197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</row>
    <row r="119" ht="15.75" customHeight="1">
      <c r="A119" s="200"/>
      <c r="B119" s="200"/>
      <c r="C119" s="198"/>
      <c r="D119" s="198"/>
      <c r="E119" s="197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</row>
    <row r="120" ht="15.75" customHeight="1">
      <c r="A120" s="200"/>
      <c r="B120" s="200"/>
      <c r="C120" s="198"/>
      <c r="D120" s="198"/>
      <c r="E120" s="197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</row>
    <row r="121" ht="15.75" customHeight="1">
      <c r="A121" s="200"/>
      <c r="B121" s="200"/>
      <c r="C121" s="198"/>
      <c r="D121" s="198"/>
      <c r="E121" s="197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</row>
    <row r="122" ht="15.75" customHeight="1">
      <c r="A122" s="200"/>
      <c r="B122" s="200"/>
      <c r="C122" s="198"/>
      <c r="D122" s="198"/>
      <c r="E122" s="197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</row>
    <row r="123" ht="15.75" customHeight="1">
      <c r="A123" s="200"/>
      <c r="B123" s="200"/>
      <c r="C123" s="198"/>
      <c r="D123" s="198"/>
      <c r="E123" s="197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</row>
    <row r="124" ht="15.75" customHeight="1">
      <c r="A124" s="200"/>
      <c r="B124" s="200"/>
      <c r="C124" s="198"/>
      <c r="D124" s="198"/>
      <c r="E124" s="197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</row>
    <row r="125" ht="15.75" customHeight="1">
      <c r="A125" s="200"/>
      <c r="B125" s="200"/>
      <c r="C125" s="198"/>
      <c r="D125" s="198"/>
      <c r="E125" s="197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</row>
    <row r="126" ht="15.75" customHeight="1">
      <c r="A126" s="200"/>
      <c r="B126" s="200"/>
      <c r="C126" s="198"/>
      <c r="D126" s="198"/>
      <c r="E126" s="197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</row>
    <row r="127" ht="15.75" customHeight="1">
      <c r="A127" s="200"/>
      <c r="B127" s="200"/>
      <c r="C127" s="198"/>
      <c r="D127" s="198"/>
      <c r="E127" s="197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</row>
    <row r="128" ht="15.75" customHeight="1">
      <c r="A128" s="200"/>
      <c r="B128" s="200"/>
      <c r="C128" s="198"/>
      <c r="D128" s="198"/>
      <c r="E128" s="197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</row>
    <row r="129" ht="15.75" customHeight="1">
      <c r="A129" s="200"/>
      <c r="B129" s="200"/>
      <c r="C129" s="198"/>
      <c r="D129" s="198"/>
      <c r="E129" s="197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</row>
    <row r="130" ht="15.75" customHeight="1">
      <c r="A130" s="200"/>
      <c r="B130" s="200"/>
      <c r="C130" s="198"/>
      <c r="D130" s="198"/>
      <c r="E130" s="197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</row>
    <row r="131" ht="15.75" customHeight="1">
      <c r="A131" s="200"/>
      <c r="B131" s="200"/>
      <c r="C131" s="198"/>
      <c r="D131" s="198"/>
      <c r="E131" s="197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</row>
    <row r="132" ht="15.75" customHeight="1">
      <c r="A132" s="200"/>
      <c r="B132" s="200"/>
      <c r="C132" s="198"/>
      <c r="D132" s="198"/>
      <c r="E132" s="197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</row>
    <row r="133" ht="15.75" customHeight="1">
      <c r="A133" s="200"/>
      <c r="B133" s="200"/>
      <c r="C133" s="198"/>
      <c r="D133" s="198"/>
      <c r="E133" s="197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</row>
    <row r="134" ht="15.75" customHeight="1">
      <c r="A134" s="200"/>
      <c r="B134" s="200"/>
      <c r="C134" s="198"/>
      <c r="D134" s="198"/>
      <c r="E134" s="197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</row>
    <row r="135" ht="15.75" customHeight="1">
      <c r="A135" s="200"/>
      <c r="B135" s="200"/>
      <c r="C135" s="198"/>
      <c r="D135" s="198"/>
      <c r="E135" s="197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</row>
    <row r="136" ht="15.75" customHeight="1">
      <c r="A136" s="200"/>
      <c r="B136" s="200"/>
      <c r="C136" s="198"/>
      <c r="D136" s="198"/>
      <c r="E136" s="197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</row>
    <row r="137" ht="15.75" customHeight="1">
      <c r="A137" s="200"/>
      <c r="B137" s="200"/>
      <c r="C137" s="198"/>
      <c r="D137" s="198"/>
      <c r="E137" s="197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</row>
    <row r="138" ht="15.75" customHeight="1">
      <c r="A138" s="200"/>
      <c r="B138" s="200"/>
      <c r="C138" s="198"/>
      <c r="D138" s="198"/>
      <c r="E138" s="197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</row>
    <row r="139" ht="15.75" customHeight="1">
      <c r="A139" s="200"/>
      <c r="B139" s="200"/>
      <c r="C139" s="198"/>
      <c r="D139" s="198"/>
      <c r="E139" s="197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</row>
    <row r="140" ht="15.75" customHeight="1">
      <c r="A140" s="200"/>
      <c r="B140" s="200"/>
      <c r="C140" s="198"/>
      <c r="D140" s="198"/>
      <c r="E140" s="197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</row>
    <row r="141" ht="15.75" customHeight="1">
      <c r="A141" s="200"/>
      <c r="B141" s="200"/>
      <c r="C141" s="198"/>
      <c r="D141" s="198"/>
      <c r="E141" s="197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</row>
    <row r="142" ht="15.75" customHeight="1">
      <c r="A142" s="200"/>
      <c r="B142" s="200"/>
      <c r="C142" s="198"/>
      <c r="D142" s="198"/>
      <c r="E142" s="197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</row>
    <row r="143" ht="15.75" customHeight="1">
      <c r="A143" s="200"/>
      <c r="B143" s="200"/>
      <c r="C143" s="198"/>
      <c r="D143" s="198"/>
      <c r="E143" s="197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</row>
    <row r="144" ht="15.75" customHeight="1">
      <c r="A144" s="200"/>
      <c r="B144" s="200"/>
      <c r="C144" s="198"/>
      <c r="D144" s="198"/>
      <c r="E144" s="197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</row>
    <row r="145" ht="15.75" customHeight="1">
      <c r="A145" s="200"/>
      <c r="B145" s="200"/>
      <c r="C145" s="198"/>
      <c r="D145" s="198"/>
      <c r="E145" s="197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</row>
    <row r="146" ht="15.75" customHeight="1">
      <c r="A146" s="200"/>
      <c r="B146" s="200"/>
      <c r="C146" s="198"/>
      <c r="D146" s="198"/>
      <c r="E146" s="197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</row>
    <row r="147" ht="15.75" customHeight="1">
      <c r="A147" s="200"/>
      <c r="B147" s="200"/>
      <c r="C147" s="198"/>
      <c r="D147" s="198"/>
      <c r="E147" s="197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</row>
    <row r="148" ht="15.75" customHeight="1">
      <c r="A148" s="200"/>
      <c r="B148" s="200"/>
      <c r="C148" s="198"/>
      <c r="D148" s="198"/>
      <c r="E148" s="197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</row>
    <row r="149" ht="15.75" customHeight="1">
      <c r="A149" s="200"/>
      <c r="B149" s="200"/>
      <c r="C149" s="198"/>
      <c r="D149" s="198"/>
      <c r="E149" s="197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</row>
    <row r="150" ht="15.75" customHeight="1">
      <c r="A150" s="200"/>
      <c r="B150" s="200"/>
      <c r="C150" s="198"/>
      <c r="D150" s="198"/>
      <c r="E150" s="197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</row>
    <row r="151" ht="15.75" customHeight="1">
      <c r="A151" s="200"/>
      <c r="B151" s="200"/>
      <c r="C151" s="198"/>
      <c r="D151" s="198"/>
      <c r="E151" s="197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</row>
    <row r="152" ht="15.75" customHeight="1">
      <c r="A152" s="200"/>
      <c r="B152" s="200"/>
      <c r="C152" s="198"/>
      <c r="D152" s="198"/>
      <c r="E152" s="197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</row>
    <row r="153" ht="15.75" customHeight="1">
      <c r="A153" s="200"/>
      <c r="B153" s="200"/>
      <c r="C153" s="198"/>
      <c r="D153" s="198"/>
      <c r="E153" s="197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</row>
    <row r="154" ht="15.75" customHeight="1">
      <c r="A154" s="200"/>
      <c r="B154" s="200"/>
      <c r="C154" s="198"/>
      <c r="D154" s="198"/>
      <c r="E154" s="197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</row>
    <row r="155" ht="15.75" customHeight="1">
      <c r="A155" s="200"/>
      <c r="B155" s="200"/>
      <c r="C155" s="198"/>
      <c r="D155" s="198"/>
      <c r="E155" s="197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</row>
    <row r="156" ht="15.75" customHeight="1">
      <c r="A156" s="200"/>
      <c r="B156" s="200"/>
      <c r="C156" s="198"/>
      <c r="D156" s="198"/>
      <c r="E156" s="197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</row>
    <row r="157" ht="15.75" customHeight="1">
      <c r="A157" s="200"/>
      <c r="B157" s="200"/>
      <c r="C157" s="198"/>
      <c r="D157" s="198"/>
      <c r="E157" s="197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</row>
    <row r="158" ht="15.75" customHeight="1">
      <c r="A158" s="200"/>
      <c r="B158" s="200"/>
      <c r="C158" s="198"/>
      <c r="D158" s="198"/>
      <c r="E158" s="197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</row>
    <row r="159" ht="15.75" customHeight="1">
      <c r="A159" s="200"/>
      <c r="B159" s="200"/>
      <c r="C159" s="198"/>
      <c r="D159" s="198"/>
      <c r="E159" s="197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</row>
    <row r="160" ht="15.75" customHeight="1">
      <c r="A160" s="200"/>
      <c r="B160" s="200"/>
      <c r="C160" s="198"/>
      <c r="D160" s="198"/>
      <c r="E160" s="197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</row>
    <row r="161" ht="15.75" customHeight="1">
      <c r="A161" s="200"/>
      <c r="B161" s="200"/>
      <c r="C161" s="198"/>
      <c r="D161" s="198"/>
      <c r="E161" s="197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</row>
    <row r="162" ht="15.75" customHeight="1">
      <c r="A162" s="200"/>
      <c r="B162" s="200"/>
      <c r="C162" s="198"/>
      <c r="D162" s="198"/>
      <c r="E162" s="197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</row>
    <row r="163" ht="15.75" customHeight="1">
      <c r="A163" s="200"/>
      <c r="B163" s="200"/>
      <c r="C163" s="198"/>
      <c r="D163" s="198"/>
      <c r="E163" s="197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</row>
    <row r="164" ht="15.75" customHeight="1">
      <c r="A164" s="200"/>
      <c r="B164" s="200"/>
      <c r="C164" s="198"/>
      <c r="D164" s="198"/>
      <c r="E164" s="197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</row>
    <row r="165" ht="15.75" customHeight="1">
      <c r="A165" s="200"/>
      <c r="B165" s="200"/>
      <c r="C165" s="198"/>
      <c r="D165" s="198"/>
      <c r="E165" s="197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</row>
    <row r="166" ht="15.75" customHeight="1">
      <c r="A166" s="200"/>
      <c r="B166" s="200"/>
      <c r="C166" s="198"/>
      <c r="D166" s="198"/>
      <c r="E166" s="197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</row>
    <row r="167" ht="15.75" customHeight="1">
      <c r="A167" s="200"/>
      <c r="B167" s="200"/>
      <c r="C167" s="198"/>
      <c r="D167" s="198"/>
      <c r="E167" s="197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</row>
    <row r="168" ht="15.75" customHeight="1">
      <c r="A168" s="200"/>
      <c r="B168" s="200"/>
      <c r="C168" s="198"/>
      <c r="D168" s="198"/>
      <c r="E168" s="197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</row>
    <row r="169" ht="15.75" customHeight="1">
      <c r="A169" s="200"/>
      <c r="B169" s="200"/>
      <c r="C169" s="198"/>
      <c r="D169" s="198"/>
      <c r="E169" s="197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</row>
    <row r="170" ht="15.75" customHeight="1">
      <c r="A170" s="200"/>
      <c r="B170" s="200"/>
      <c r="C170" s="198"/>
      <c r="D170" s="198"/>
      <c r="E170" s="197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</row>
    <row r="171" ht="15.75" customHeight="1">
      <c r="A171" s="200"/>
      <c r="B171" s="200"/>
      <c r="C171" s="198"/>
      <c r="D171" s="198"/>
      <c r="E171" s="197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</row>
    <row r="172" ht="15.75" customHeight="1">
      <c r="A172" s="200"/>
      <c r="B172" s="200"/>
      <c r="C172" s="198"/>
      <c r="D172" s="198"/>
      <c r="E172" s="197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</row>
    <row r="173" ht="15.75" customHeight="1">
      <c r="A173" s="200"/>
      <c r="B173" s="200"/>
      <c r="C173" s="198"/>
      <c r="D173" s="198"/>
      <c r="E173" s="197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</row>
    <row r="174" ht="15.75" customHeight="1">
      <c r="A174" s="200"/>
      <c r="B174" s="200"/>
      <c r="C174" s="198"/>
      <c r="D174" s="198"/>
      <c r="E174" s="197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</row>
    <row r="175" ht="15.75" customHeight="1">
      <c r="A175" s="200"/>
      <c r="B175" s="200"/>
      <c r="C175" s="198"/>
      <c r="D175" s="198"/>
      <c r="E175" s="197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</row>
    <row r="176" ht="15.75" customHeight="1">
      <c r="A176" s="200"/>
      <c r="B176" s="200"/>
      <c r="C176" s="198"/>
      <c r="D176" s="198"/>
      <c r="E176" s="197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</row>
    <row r="177" ht="15.75" customHeight="1">
      <c r="A177" s="200"/>
      <c r="B177" s="200"/>
      <c r="C177" s="198"/>
      <c r="D177" s="198"/>
      <c r="E177" s="197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</row>
    <row r="178" ht="15.75" customHeight="1">
      <c r="A178" s="200"/>
      <c r="B178" s="200"/>
      <c r="C178" s="198"/>
      <c r="D178" s="198"/>
      <c r="E178" s="197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</row>
    <row r="179" ht="15.75" customHeight="1">
      <c r="A179" s="200"/>
      <c r="B179" s="200"/>
      <c r="C179" s="198"/>
      <c r="D179" s="198"/>
      <c r="E179" s="197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</row>
    <row r="180" ht="15.75" customHeight="1">
      <c r="A180" s="200"/>
      <c r="B180" s="200"/>
      <c r="C180" s="198"/>
      <c r="D180" s="198"/>
      <c r="E180" s="197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</row>
    <row r="181" ht="15.75" customHeight="1">
      <c r="A181" s="200"/>
      <c r="B181" s="200"/>
      <c r="C181" s="198"/>
      <c r="D181" s="198"/>
      <c r="E181" s="197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</row>
    <row r="182" ht="15.75" customHeight="1">
      <c r="A182" s="200"/>
      <c r="B182" s="200"/>
      <c r="C182" s="198"/>
      <c r="D182" s="198"/>
      <c r="E182" s="197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</row>
    <row r="183" ht="15.75" customHeight="1">
      <c r="A183" s="200"/>
      <c r="B183" s="200"/>
      <c r="C183" s="198"/>
      <c r="D183" s="198"/>
      <c r="E183" s="197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</row>
    <row r="184" ht="15.75" customHeight="1">
      <c r="A184" s="200"/>
      <c r="B184" s="200"/>
      <c r="C184" s="198"/>
      <c r="D184" s="198"/>
      <c r="E184" s="197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</row>
    <row r="185" ht="15.75" customHeight="1">
      <c r="A185" s="200"/>
      <c r="B185" s="200"/>
      <c r="C185" s="198"/>
      <c r="D185" s="198"/>
      <c r="E185" s="197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</row>
    <row r="186" ht="15.75" customHeight="1">
      <c r="A186" s="200"/>
      <c r="B186" s="200"/>
      <c r="C186" s="198"/>
      <c r="D186" s="198"/>
      <c r="E186" s="197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</row>
    <row r="187" ht="15.75" customHeight="1">
      <c r="A187" s="200"/>
      <c r="B187" s="200"/>
      <c r="C187" s="198"/>
      <c r="D187" s="198"/>
      <c r="E187" s="197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</row>
    <row r="188" ht="15.75" customHeight="1">
      <c r="A188" s="200"/>
      <c r="B188" s="200"/>
      <c r="C188" s="198"/>
      <c r="D188" s="198"/>
      <c r="E188" s="197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</row>
    <row r="189" ht="15.75" customHeight="1">
      <c r="A189" s="200"/>
      <c r="B189" s="200"/>
      <c r="C189" s="198"/>
      <c r="D189" s="198"/>
      <c r="E189" s="197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</row>
    <row r="190" ht="15.75" customHeight="1">
      <c r="A190" s="200"/>
      <c r="B190" s="200"/>
      <c r="C190" s="198"/>
      <c r="D190" s="198"/>
      <c r="E190" s="197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</row>
    <row r="191" ht="15.75" customHeight="1">
      <c r="A191" s="200"/>
      <c r="B191" s="200"/>
      <c r="C191" s="198"/>
      <c r="D191" s="198"/>
      <c r="E191" s="197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</row>
    <row r="192" ht="15.75" customHeight="1">
      <c r="A192" s="200"/>
      <c r="B192" s="200"/>
      <c r="C192" s="198"/>
      <c r="D192" s="198"/>
      <c r="E192" s="197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</row>
    <row r="193" ht="15.75" customHeight="1">
      <c r="A193" s="200"/>
      <c r="B193" s="200"/>
      <c r="C193" s="198"/>
      <c r="D193" s="198"/>
      <c r="E193" s="197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</row>
    <row r="194" ht="15.75" customHeight="1">
      <c r="A194" s="200"/>
      <c r="B194" s="200"/>
      <c r="C194" s="198"/>
      <c r="D194" s="198"/>
      <c r="E194" s="197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</row>
    <row r="195" ht="15.75" customHeight="1">
      <c r="A195" s="200"/>
      <c r="B195" s="200"/>
      <c r="C195" s="198"/>
      <c r="D195" s="198"/>
      <c r="E195" s="197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</row>
    <row r="196" ht="15.75" customHeight="1">
      <c r="A196" s="200"/>
      <c r="B196" s="200"/>
      <c r="C196" s="198"/>
      <c r="D196" s="198"/>
      <c r="E196" s="197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</row>
    <row r="197" ht="15.75" customHeight="1">
      <c r="A197" s="200"/>
      <c r="B197" s="200"/>
      <c r="C197" s="198"/>
      <c r="D197" s="198"/>
      <c r="E197" s="197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</row>
    <row r="198" ht="15.75" customHeight="1">
      <c r="A198" s="200"/>
      <c r="B198" s="200"/>
      <c r="C198" s="198"/>
      <c r="D198" s="198"/>
      <c r="E198" s="197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</row>
    <row r="199" ht="15.75" customHeight="1">
      <c r="A199" s="200"/>
      <c r="B199" s="200"/>
      <c r="C199" s="198"/>
      <c r="D199" s="198"/>
      <c r="E199" s="197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</row>
    <row r="200" ht="15.75" customHeight="1">
      <c r="A200" s="200"/>
      <c r="B200" s="200"/>
      <c r="C200" s="198"/>
      <c r="D200" s="198"/>
      <c r="E200" s="197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</row>
    <row r="201" ht="15.75" customHeight="1">
      <c r="A201" s="200"/>
      <c r="B201" s="200"/>
      <c r="C201" s="198"/>
      <c r="D201" s="198"/>
      <c r="E201" s="197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</row>
    <row r="202" ht="15.75" customHeight="1">
      <c r="A202" s="200"/>
      <c r="B202" s="200"/>
      <c r="C202" s="198"/>
      <c r="D202" s="198"/>
      <c r="E202" s="197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</row>
    <row r="203" ht="15.75" customHeight="1">
      <c r="A203" s="200"/>
      <c r="B203" s="200"/>
      <c r="C203" s="198"/>
      <c r="D203" s="198"/>
      <c r="E203" s="197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</row>
    <row r="204" ht="15.75" customHeight="1">
      <c r="A204" s="200"/>
      <c r="B204" s="200"/>
      <c r="C204" s="198"/>
      <c r="D204" s="198"/>
      <c r="E204" s="197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</row>
    <row r="205" ht="15.75" customHeight="1">
      <c r="A205" s="200"/>
      <c r="B205" s="200"/>
      <c r="C205" s="198"/>
      <c r="D205" s="198"/>
      <c r="E205" s="197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</row>
    <row r="206" ht="15.75" customHeight="1">
      <c r="A206" s="200"/>
      <c r="B206" s="200"/>
      <c r="C206" s="198"/>
      <c r="D206" s="198"/>
      <c r="E206" s="197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</row>
    <row r="207" ht="15.75" customHeight="1">
      <c r="A207" s="200"/>
      <c r="B207" s="200"/>
      <c r="C207" s="198"/>
      <c r="D207" s="198"/>
      <c r="E207" s="197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</row>
    <row r="208" ht="15.75" customHeight="1">
      <c r="A208" s="200"/>
      <c r="B208" s="200"/>
      <c r="C208" s="198"/>
      <c r="D208" s="198"/>
      <c r="E208" s="197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</row>
    <row r="209" ht="15.75" customHeight="1">
      <c r="A209" s="200"/>
      <c r="B209" s="200"/>
      <c r="C209" s="198"/>
      <c r="D209" s="198"/>
      <c r="E209" s="197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</row>
    <row r="210" ht="15.75" customHeight="1">
      <c r="A210" s="200"/>
      <c r="B210" s="200"/>
      <c r="C210" s="198"/>
      <c r="D210" s="198"/>
      <c r="E210" s="197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</row>
    <row r="211" ht="15.75" customHeight="1">
      <c r="A211" s="200"/>
      <c r="B211" s="200"/>
      <c r="C211" s="198"/>
      <c r="D211" s="198"/>
      <c r="E211" s="197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</row>
    <row r="212" ht="15.75" customHeight="1">
      <c r="A212" s="200"/>
      <c r="B212" s="200"/>
      <c r="C212" s="198"/>
      <c r="D212" s="198"/>
      <c r="E212" s="197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</row>
    <row r="213" ht="15.75" customHeight="1">
      <c r="A213" s="200"/>
      <c r="B213" s="200"/>
      <c r="C213" s="198"/>
      <c r="D213" s="198"/>
      <c r="E213" s="197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</row>
    <row r="214" ht="15.75" customHeight="1">
      <c r="A214" s="200"/>
      <c r="B214" s="200"/>
      <c r="C214" s="198"/>
      <c r="D214" s="198"/>
      <c r="E214" s="197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</row>
    <row r="215" ht="15.75" customHeight="1">
      <c r="A215" s="200"/>
      <c r="B215" s="200"/>
      <c r="C215" s="198"/>
      <c r="D215" s="198"/>
      <c r="E215" s="197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</row>
    <row r="216" ht="15.75" customHeight="1">
      <c r="A216" s="200"/>
      <c r="B216" s="200"/>
      <c r="C216" s="198"/>
      <c r="D216" s="198"/>
      <c r="E216" s="197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</row>
    <row r="217" ht="15.75" customHeight="1">
      <c r="A217" s="200"/>
      <c r="B217" s="200"/>
      <c r="C217" s="198"/>
      <c r="D217" s="198"/>
      <c r="E217" s="197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</row>
    <row r="218" ht="15.75" customHeight="1">
      <c r="A218" s="200"/>
      <c r="B218" s="200"/>
      <c r="C218" s="198"/>
      <c r="D218" s="198"/>
      <c r="E218" s="197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</row>
    <row r="219" ht="15.75" customHeight="1">
      <c r="A219" s="200"/>
      <c r="B219" s="200"/>
      <c r="C219" s="198"/>
      <c r="D219" s="198"/>
      <c r="E219" s="197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</row>
    <row r="220" ht="15.75" customHeight="1">
      <c r="A220" s="200"/>
      <c r="B220" s="200"/>
      <c r="C220" s="198"/>
      <c r="D220" s="198"/>
      <c r="E220" s="197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</row>
    <row r="221" ht="15.75" customHeight="1">
      <c r="A221" s="200"/>
      <c r="B221" s="200"/>
      <c r="C221" s="198"/>
      <c r="D221" s="198"/>
      <c r="E221" s="197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</row>
    <row r="222" ht="15.75" customHeight="1">
      <c r="A222" s="200"/>
      <c r="B222" s="200"/>
      <c r="C222" s="198"/>
      <c r="D222" s="198"/>
      <c r="E222" s="197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</row>
    <row r="223" ht="15.75" customHeight="1">
      <c r="A223" s="200"/>
      <c r="B223" s="200"/>
      <c r="C223" s="198"/>
      <c r="D223" s="198"/>
      <c r="E223" s="197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</row>
    <row r="224" ht="15.75" customHeight="1">
      <c r="A224" s="200"/>
      <c r="B224" s="200"/>
      <c r="C224" s="198"/>
      <c r="D224" s="198"/>
      <c r="E224" s="197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</row>
    <row r="225" ht="15.75" customHeight="1">
      <c r="A225" s="200"/>
      <c r="B225" s="200"/>
      <c r="C225" s="198"/>
      <c r="D225" s="198"/>
      <c r="E225" s="197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</row>
    <row r="226" ht="15.75" customHeight="1">
      <c r="A226" s="200"/>
      <c r="B226" s="200"/>
      <c r="C226" s="198"/>
      <c r="D226" s="198"/>
      <c r="E226" s="197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</row>
    <row r="227" ht="15.75" customHeight="1">
      <c r="A227" s="200"/>
      <c r="B227" s="200"/>
      <c r="C227" s="198"/>
      <c r="D227" s="198"/>
      <c r="E227" s="197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</row>
    <row r="228" ht="15.75" customHeight="1">
      <c r="A228" s="200"/>
      <c r="B228" s="200"/>
      <c r="C228" s="198"/>
      <c r="D228" s="198"/>
      <c r="E228" s="197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</row>
    <row r="229" ht="15.75" customHeight="1">
      <c r="A229" s="200"/>
      <c r="B229" s="200"/>
      <c r="C229" s="198"/>
      <c r="D229" s="198"/>
      <c r="E229" s="197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</row>
    <row r="230" ht="15.75" customHeight="1">
      <c r="A230" s="200"/>
      <c r="B230" s="200"/>
      <c r="C230" s="198"/>
      <c r="D230" s="198"/>
      <c r="E230" s="197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</row>
    <row r="231" ht="15.75" customHeight="1">
      <c r="A231" s="200"/>
      <c r="B231" s="200"/>
      <c r="C231" s="198"/>
      <c r="D231" s="198"/>
      <c r="E231" s="197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</row>
    <row r="232" ht="15.75" customHeight="1">
      <c r="A232" s="200"/>
      <c r="B232" s="200"/>
      <c r="C232" s="198"/>
      <c r="D232" s="198"/>
      <c r="E232" s="197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</row>
    <row r="233" ht="15.75" customHeight="1">
      <c r="A233" s="200"/>
      <c r="B233" s="200"/>
      <c r="C233" s="198"/>
      <c r="D233" s="198"/>
      <c r="E233" s="197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</row>
    <row r="234" ht="15.75" customHeight="1">
      <c r="A234" s="200"/>
      <c r="B234" s="200"/>
      <c r="C234" s="198"/>
      <c r="D234" s="198"/>
      <c r="E234" s="197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</row>
    <row r="235" ht="15.75" customHeight="1">
      <c r="A235" s="200"/>
      <c r="B235" s="200"/>
      <c r="C235" s="198"/>
      <c r="D235" s="198"/>
      <c r="E235" s="197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</row>
    <row r="236" ht="15.75" customHeight="1">
      <c r="A236" s="200"/>
      <c r="B236" s="200"/>
      <c r="C236" s="198"/>
      <c r="D236" s="198"/>
      <c r="E236" s="197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</row>
    <row r="237" ht="15.75" customHeight="1">
      <c r="A237" s="200"/>
      <c r="B237" s="200"/>
      <c r="C237" s="198"/>
      <c r="D237" s="198"/>
      <c r="E237" s="197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</row>
    <row r="238" ht="15.75" customHeight="1">
      <c r="A238" s="200"/>
      <c r="B238" s="200"/>
      <c r="C238" s="198"/>
      <c r="D238" s="198"/>
      <c r="E238" s="197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</row>
    <row r="239" ht="15.75" customHeight="1">
      <c r="A239" s="200"/>
      <c r="B239" s="200"/>
      <c r="C239" s="198"/>
      <c r="D239" s="198"/>
      <c r="E239" s="197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</row>
    <row r="240" ht="15.75" customHeight="1">
      <c r="A240" s="200"/>
      <c r="B240" s="200"/>
      <c r="C240" s="198"/>
      <c r="D240" s="198"/>
      <c r="E240" s="197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</row>
    <row r="241" ht="15.75" customHeight="1">
      <c r="A241" s="200"/>
      <c r="B241" s="200"/>
      <c r="C241" s="198"/>
      <c r="D241" s="198"/>
      <c r="E241" s="197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</row>
    <row r="242" ht="15.75" customHeight="1">
      <c r="A242" s="200"/>
      <c r="B242" s="200"/>
      <c r="C242" s="198"/>
      <c r="D242" s="198"/>
      <c r="E242" s="197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</row>
    <row r="243" ht="15.75" customHeight="1">
      <c r="A243" s="200"/>
      <c r="B243" s="200"/>
      <c r="C243" s="198"/>
      <c r="D243" s="198"/>
      <c r="E243" s="197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</row>
    <row r="244" ht="15.75" customHeight="1">
      <c r="A244" s="200"/>
      <c r="B244" s="200"/>
      <c r="C244" s="198"/>
      <c r="D244" s="198"/>
      <c r="E244" s="197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</row>
    <row r="245" ht="15.75" customHeight="1">
      <c r="A245" s="200"/>
      <c r="B245" s="200"/>
      <c r="C245" s="198"/>
      <c r="D245" s="198"/>
      <c r="E245" s="197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</row>
    <row r="246" ht="15.75" customHeight="1">
      <c r="A246" s="200"/>
      <c r="B246" s="200"/>
      <c r="C246" s="198"/>
      <c r="D246" s="198"/>
      <c r="E246" s="197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</row>
    <row r="247" ht="15.75" customHeight="1">
      <c r="A247" s="200"/>
      <c r="B247" s="200"/>
      <c r="C247" s="198"/>
      <c r="D247" s="198"/>
      <c r="E247" s="197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</row>
    <row r="248" ht="15.75" customHeight="1">
      <c r="A248" s="200"/>
      <c r="B248" s="200"/>
      <c r="C248" s="198"/>
      <c r="D248" s="198"/>
      <c r="E248" s="197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</row>
    <row r="249" ht="15.75" customHeight="1">
      <c r="A249" s="200"/>
      <c r="B249" s="200"/>
      <c r="C249" s="198"/>
      <c r="D249" s="198"/>
      <c r="E249" s="197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</row>
    <row r="250" ht="15.75" customHeight="1">
      <c r="A250" s="200"/>
      <c r="B250" s="200"/>
      <c r="C250" s="198"/>
      <c r="D250" s="198"/>
      <c r="E250" s="197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</row>
    <row r="251" ht="15.75" customHeight="1">
      <c r="A251" s="200"/>
      <c r="B251" s="200"/>
      <c r="C251" s="198"/>
      <c r="D251" s="198"/>
      <c r="E251" s="197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</row>
    <row r="252" ht="15.75" customHeight="1">
      <c r="A252" s="200"/>
      <c r="B252" s="200"/>
      <c r="C252" s="198"/>
      <c r="D252" s="198"/>
      <c r="E252" s="197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</row>
    <row r="253" ht="15.75" customHeight="1">
      <c r="A253" s="200"/>
      <c r="B253" s="200"/>
      <c r="C253" s="198"/>
      <c r="D253" s="198"/>
      <c r="E253" s="197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</row>
    <row r="254" ht="15.75" customHeight="1">
      <c r="A254" s="200"/>
      <c r="B254" s="200"/>
      <c r="C254" s="198"/>
      <c r="D254" s="198"/>
      <c r="E254" s="197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</row>
    <row r="255" ht="15.75" customHeight="1">
      <c r="A255" s="200"/>
      <c r="B255" s="200"/>
      <c r="C255" s="198"/>
      <c r="D255" s="198"/>
      <c r="E255" s="197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</row>
    <row r="256" ht="15.75" customHeight="1">
      <c r="A256" s="200"/>
      <c r="B256" s="200"/>
      <c r="C256" s="198"/>
      <c r="D256" s="198"/>
      <c r="E256" s="197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</row>
    <row r="257" ht="15.75" customHeight="1">
      <c r="A257" s="200"/>
      <c r="B257" s="200"/>
      <c r="C257" s="198"/>
      <c r="D257" s="198"/>
      <c r="E257" s="197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</row>
    <row r="258" ht="15.75" customHeight="1">
      <c r="A258" s="200"/>
      <c r="B258" s="200"/>
      <c r="C258" s="198"/>
      <c r="D258" s="198"/>
      <c r="E258" s="197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</row>
    <row r="259" ht="15.75" customHeight="1">
      <c r="A259" s="200"/>
      <c r="B259" s="200"/>
      <c r="C259" s="198"/>
      <c r="D259" s="198"/>
      <c r="E259" s="197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</row>
    <row r="260" ht="15.75" customHeight="1">
      <c r="A260" s="200"/>
      <c r="B260" s="200"/>
      <c r="C260" s="198"/>
      <c r="D260" s="198"/>
      <c r="E260" s="197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</row>
    <row r="261" ht="15.75" customHeight="1">
      <c r="A261" s="200"/>
      <c r="B261" s="200"/>
      <c r="C261" s="198"/>
      <c r="D261" s="198"/>
      <c r="E261" s="197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</row>
    <row r="262" ht="15.75" customHeight="1">
      <c r="A262" s="200"/>
      <c r="B262" s="200"/>
      <c r="C262" s="198"/>
      <c r="D262" s="198"/>
      <c r="E262" s="197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</row>
    <row r="263" ht="15.75" customHeight="1">
      <c r="A263" s="200"/>
      <c r="B263" s="200"/>
      <c r="C263" s="198"/>
      <c r="D263" s="198"/>
      <c r="E263" s="197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</row>
    <row r="264" ht="15.75" customHeight="1">
      <c r="A264" s="200"/>
      <c r="B264" s="200"/>
      <c r="C264" s="198"/>
      <c r="D264" s="198"/>
      <c r="E264" s="197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</row>
    <row r="265" ht="15.75" customHeight="1">
      <c r="A265" s="200"/>
      <c r="B265" s="200"/>
      <c r="C265" s="198"/>
      <c r="D265" s="198"/>
      <c r="E265" s="197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</row>
    <row r="266" ht="15.75" customHeight="1">
      <c r="A266" s="200"/>
      <c r="B266" s="200"/>
      <c r="C266" s="198"/>
      <c r="D266" s="198"/>
      <c r="E266" s="197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</row>
    <row r="267" ht="15.75" customHeight="1">
      <c r="A267" s="200"/>
      <c r="B267" s="200"/>
      <c r="C267" s="198"/>
      <c r="D267" s="198"/>
      <c r="E267" s="197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</row>
    <row r="268" ht="15.75" customHeight="1">
      <c r="A268" s="200"/>
      <c r="B268" s="200"/>
      <c r="C268" s="198"/>
      <c r="D268" s="198"/>
      <c r="E268" s="197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</row>
    <row r="269" ht="15.75" customHeight="1">
      <c r="A269" s="200"/>
      <c r="B269" s="200"/>
      <c r="C269" s="198"/>
      <c r="D269" s="198"/>
      <c r="E269" s="197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</row>
    <row r="270" ht="15.75" customHeight="1">
      <c r="A270" s="200"/>
      <c r="B270" s="200"/>
      <c r="C270" s="198"/>
      <c r="D270" s="198"/>
      <c r="E270" s="197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</row>
    <row r="271" ht="15.75" customHeight="1">
      <c r="A271" s="200"/>
      <c r="B271" s="200"/>
      <c r="C271" s="198"/>
      <c r="D271" s="198"/>
      <c r="E271" s="197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</row>
    <row r="272" ht="15.75" customHeight="1">
      <c r="A272" s="200"/>
      <c r="B272" s="200"/>
      <c r="C272" s="198"/>
      <c r="D272" s="198"/>
      <c r="E272" s="197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</row>
    <row r="273" ht="15.75" customHeight="1">
      <c r="A273" s="200"/>
      <c r="B273" s="200"/>
      <c r="C273" s="198"/>
      <c r="D273" s="198"/>
      <c r="E273" s="197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</row>
    <row r="274" ht="15.75" customHeight="1">
      <c r="A274" s="200"/>
      <c r="B274" s="200"/>
      <c r="C274" s="198"/>
      <c r="D274" s="198"/>
      <c r="E274" s="197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</row>
    <row r="275" ht="15.75" customHeight="1">
      <c r="A275" s="200"/>
      <c r="B275" s="200"/>
      <c r="C275" s="198"/>
      <c r="D275" s="198"/>
      <c r="E275" s="197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</row>
    <row r="276" ht="15.75" customHeight="1">
      <c r="A276" s="200"/>
      <c r="B276" s="200"/>
      <c r="C276" s="198"/>
      <c r="D276" s="198"/>
      <c r="E276" s="197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</row>
    <row r="277" ht="15.75" customHeight="1">
      <c r="A277" s="200"/>
      <c r="B277" s="200"/>
      <c r="C277" s="198"/>
      <c r="D277" s="198"/>
      <c r="E277" s="197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</row>
    <row r="278" ht="15.75" customHeight="1">
      <c r="A278" s="200"/>
      <c r="B278" s="200"/>
      <c r="C278" s="198"/>
      <c r="D278" s="198"/>
      <c r="E278" s="197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</row>
    <row r="279" ht="15.75" customHeight="1">
      <c r="A279" s="200"/>
      <c r="B279" s="200"/>
      <c r="C279" s="198"/>
      <c r="D279" s="198"/>
      <c r="E279" s="197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</row>
    <row r="280" ht="15.75" customHeight="1">
      <c r="A280" s="200"/>
      <c r="B280" s="200"/>
      <c r="C280" s="198"/>
      <c r="D280" s="198"/>
      <c r="E280" s="197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</row>
    <row r="281" ht="15.75" customHeight="1">
      <c r="A281" s="200"/>
      <c r="B281" s="200"/>
      <c r="C281" s="198"/>
      <c r="D281" s="198"/>
      <c r="E281" s="197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</row>
    <row r="282" ht="15.75" customHeight="1">
      <c r="A282" s="200"/>
      <c r="B282" s="200"/>
      <c r="C282" s="198"/>
      <c r="D282" s="198"/>
      <c r="E282" s="197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</row>
    <row r="283" ht="15.75" customHeight="1">
      <c r="A283" s="200"/>
      <c r="B283" s="200"/>
      <c r="C283" s="198"/>
      <c r="D283" s="198"/>
      <c r="E283" s="197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</row>
    <row r="284" ht="15.75" customHeight="1">
      <c r="A284" s="200"/>
      <c r="B284" s="200"/>
      <c r="C284" s="198"/>
      <c r="D284" s="198"/>
      <c r="E284" s="197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</row>
    <row r="285" ht="15.75" customHeight="1">
      <c r="A285" s="200"/>
      <c r="B285" s="200"/>
      <c r="C285" s="198"/>
      <c r="D285" s="198"/>
      <c r="E285" s="197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</row>
    <row r="286" ht="15.75" customHeight="1">
      <c r="A286" s="200"/>
      <c r="B286" s="200"/>
      <c r="C286" s="198"/>
      <c r="D286" s="198"/>
      <c r="E286" s="197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</row>
    <row r="287" ht="15.75" customHeight="1">
      <c r="A287" s="200"/>
      <c r="B287" s="200"/>
      <c r="C287" s="198"/>
      <c r="D287" s="198"/>
      <c r="E287" s="197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</row>
    <row r="288" ht="15.75" customHeight="1">
      <c r="A288" s="200"/>
      <c r="B288" s="200"/>
      <c r="C288" s="198"/>
      <c r="D288" s="198"/>
      <c r="E288" s="197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</row>
    <row r="289" ht="15.75" customHeight="1">
      <c r="A289" s="200"/>
      <c r="B289" s="200"/>
      <c r="C289" s="198"/>
      <c r="D289" s="198"/>
      <c r="E289" s="197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</row>
    <row r="290" ht="15.75" customHeight="1">
      <c r="A290" s="200"/>
      <c r="B290" s="200"/>
      <c r="C290" s="198"/>
      <c r="D290" s="198"/>
      <c r="E290" s="197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</row>
    <row r="291" ht="15.75" customHeight="1">
      <c r="A291" s="200"/>
      <c r="B291" s="200"/>
      <c r="C291" s="198"/>
      <c r="D291" s="198"/>
      <c r="E291" s="197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</row>
    <row r="292" ht="15.75" customHeight="1">
      <c r="A292" s="200"/>
      <c r="B292" s="200"/>
      <c r="C292" s="198"/>
      <c r="D292" s="198"/>
      <c r="E292" s="197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</row>
    <row r="293" ht="15.75" customHeight="1">
      <c r="A293" s="200"/>
      <c r="B293" s="200"/>
      <c r="C293" s="198"/>
      <c r="D293" s="198"/>
      <c r="E293" s="197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</row>
    <row r="294" ht="15.75" customHeight="1">
      <c r="A294" s="200"/>
      <c r="B294" s="200"/>
      <c r="C294" s="198"/>
      <c r="D294" s="198"/>
      <c r="E294" s="197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</row>
    <row r="295" ht="15.75" customHeight="1">
      <c r="A295" s="200"/>
      <c r="B295" s="200"/>
      <c r="C295" s="198"/>
      <c r="D295" s="198"/>
      <c r="E295" s="197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</row>
    <row r="296" ht="15.75" customHeight="1">
      <c r="A296" s="200"/>
      <c r="B296" s="200"/>
      <c r="C296" s="198"/>
      <c r="D296" s="198"/>
      <c r="E296" s="197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</row>
    <row r="297" ht="15.75" customHeight="1">
      <c r="A297" s="200"/>
      <c r="B297" s="200"/>
      <c r="C297" s="198"/>
      <c r="D297" s="198"/>
      <c r="E297" s="197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</row>
    <row r="298" ht="15.75" customHeight="1">
      <c r="A298" s="200"/>
      <c r="B298" s="200"/>
      <c r="C298" s="198"/>
      <c r="D298" s="198"/>
      <c r="E298" s="197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</row>
    <row r="299" ht="15.75" customHeight="1">
      <c r="A299" s="200"/>
      <c r="B299" s="200"/>
      <c r="C299" s="198"/>
      <c r="D299" s="198"/>
      <c r="E299" s="197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</row>
    <row r="300" ht="15.75" customHeight="1">
      <c r="A300" s="200"/>
      <c r="B300" s="200"/>
      <c r="C300" s="198"/>
      <c r="D300" s="198"/>
      <c r="E300" s="197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</row>
    <row r="301" ht="15.75" customHeight="1">
      <c r="A301" s="200"/>
      <c r="B301" s="200"/>
      <c r="C301" s="198"/>
      <c r="D301" s="198"/>
      <c r="E301" s="197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</row>
    <row r="302" ht="15.75" customHeight="1">
      <c r="A302" s="200"/>
      <c r="B302" s="200"/>
      <c r="C302" s="198"/>
      <c r="D302" s="198"/>
      <c r="E302" s="197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</row>
    <row r="303" ht="15.75" customHeight="1">
      <c r="A303" s="200"/>
      <c r="B303" s="200"/>
      <c r="C303" s="198"/>
      <c r="D303" s="198"/>
      <c r="E303" s="197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</row>
    <row r="304" ht="15.75" customHeight="1">
      <c r="A304" s="200"/>
      <c r="B304" s="200"/>
      <c r="C304" s="198"/>
      <c r="D304" s="198"/>
      <c r="E304" s="197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</row>
    <row r="305" ht="15.75" customHeight="1">
      <c r="A305" s="200"/>
      <c r="B305" s="200"/>
      <c r="C305" s="198"/>
      <c r="D305" s="198"/>
      <c r="E305" s="197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</row>
    <row r="306" ht="15.75" customHeight="1">
      <c r="A306" s="200"/>
      <c r="B306" s="200"/>
      <c r="C306" s="198"/>
      <c r="D306" s="198"/>
      <c r="E306" s="197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</row>
    <row r="307" ht="15.75" customHeight="1">
      <c r="A307" s="200"/>
      <c r="B307" s="200"/>
      <c r="C307" s="198"/>
      <c r="D307" s="198"/>
      <c r="E307" s="197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</row>
    <row r="308" ht="15.75" customHeight="1">
      <c r="A308" s="200"/>
      <c r="B308" s="200"/>
      <c r="C308" s="198"/>
      <c r="D308" s="198"/>
      <c r="E308" s="197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</row>
    <row r="309" ht="15.75" customHeight="1">
      <c r="A309" s="200"/>
      <c r="B309" s="200"/>
      <c r="C309" s="198"/>
      <c r="D309" s="198"/>
      <c r="E309" s="197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</row>
    <row r="310" ht="15.75" customHeight="1">
      <c r="A310" s="200"/>
      <c r="B310" s="200"/>
      <c r="C310" s="198"/>
      <c r="D310" s="198"/>
      <c r="E310" s="197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</row>
    <row r="311" ht="15.75" customHeight="1">
      <c r="A311" s="200"/>
      <c r="B311" s="200"/>
      <c r="C311" s="198"/>
      <c r="D311" s="198"/>
      <c r="E311" s="197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</row>
    <row r="312" ht="15.75" customHeight="1">
      <c r="A312" s="200"/>
      <c r="B312" s="200"/>
      <c r="C312" s="198"/>
      <c r="D312" s="198"/>
      <c r="E312" s="197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</row>
    <row r="313" ht="15.75" customHeight="1">
      <c r="A313" s="200"/>
      <c r="B313" s="200"/>
      <c r="C313" s="198"/>
      <c r="D313" s="198"/>
      <c r="E313" s="197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</row>
    <row r="314" ht="15.75" customHeight="1">
      <c r="A314" s="200"/>
      <c r="B314" s="200"/>
      <c r="C314" s="198"/>
      <c r="D314" s="198"/>
      <c r="E314" s="197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</row>
    <row r="315" ht="15.75" customHeight="1">
      <c r="A315" s="200"/>
      <c r="B315" s="200"/>
      <c r="C315" s="198"/>
      <c r="D315" s="198"/>
      <c r="E315" s="197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</row>
    <row r="316" ht="15.75" customHeight="1">
      <c r="A316" s="200"/>
      <c r="B316" s="200"/>
      <c r="C316" s="198"/>
      <c r="D316" s="198"/>
      <c r="E316" s="197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</row>
    <row r="317" ht="15.75" customHeight="1">
      <c r="A317" s="200"/>
      <c r="B317" s="200"/>
      <c r="C317" s="198"/>
      <c r="D317" s="198"/>
      <c r="E317" s="197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</row>
    <row r="318" ht="15.75" customHeight="1">
      <c r="A318" s="200"/>
      <c r="B318" s="200"/>
      <c r="C318" s="198"/>
      <c r="D318" s="198"/>
      <c r="E318" s="197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</row>
    <row r="319" ht="15.75" customHeight="1">
      <c r="A319" s="200"/>
      <c r="B319" s="200"/>
      <c r="C319" s="198"/>
      <c r="D319" s="198"/>
      <c r="E319" s="197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</row>
    <row r="320" ht="15.75" customHeight="1">
      <c r="A320" s="200"/>
      <c r="B320" s="200"/>
      <c r="C320" s="198"/>
      <c r="D320" s="198"/>
      <c r="E320" s="197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</row>
    <row r="321" ht="15.75" customHeight="1">
      <c r="A321" s="200"/>
      <c r="B321" s="200"/>
      <c r="C321" s="198"/>
      <c r="D321" s="198"/>
      <c r="E321" s="197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</row>
    <row r="322" ht="15.75" customHeight="1">
      <c r="A322" s="200"/>
      <c r="B322" s="200"/>
      <c r="C322" s="198"/>
      <c r="D322" s="198"/>
      <c r="E322" s="197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</row>
    <row r="323" ht="15.75" customHeight="1">
      <c r="A323" s="200"/>
      <c r="B323" s="200"/>
      <c r="C323" s="198"/>
      <c r="D323" s="198"/>
      <c r="E323" s="197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</row>
    <row r="324" ht="15.75" customHeight="1">
      <c r="A324" s="200"/>
      <c r="B324" s="200"/>
      <c r="C324" s="198"/>
      <c r="D324" s="198"/>
      <c r="E324" s="197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</row>
    <row r="325" ht="15.75" customHeight="1">
      <c r="A325" s="200"/>
      <c r="B325" s="200"/>
      <c r="C325" s="198"/>
      <c r="D325" s="198"/>
      <c r="E325" s="197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</row>
    <row r="326" ht="15.75" customHeight="1">
      <c r="A326" s="200"/>
      <c r="B326" s="200"/>
      <c r="C326" s="198"/>
      <c r="D326" s="198"/>
      <c r="E326" s="197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</row>
    <row r="327" ht="15.75" customHeight="1">
      <c r="A327" s="200"/>
      <c r="B327" s="200"/>
      <c r="C327" s="198"/>
      <c r="D327" s="198"/>
      <c r="E327" s="197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</row>
    <row r="328" ht="15.75" customHeight="1">
      <c r="A328" s="200"/>
      <c r="B328" s="200"/>
      <c r="C328" s="198"/>
      <c r="D328" s="198"/>
      <c r="E328" s="197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</row>
    <row r="329" ht="15.75" customHeight="1">
      <c r="A329" s="200"/>
      <c r="B329" s="200"/>
      <c r="C329" s="198"/>
      <c r="D329" s="198"/>
      <c r="E329" s="197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</row>
    <row r="330" ht="15.75" customHeight="1">
      <c r="A330" s="200"/>
      <c r="B330" s="200"/>
      <c r="C330" s="198"/>
      <c r="D330" s="198"/>
      <c r="E330" s="197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</row>
    <row r="331" ht="15.75" customHeight="1">
      <c r="A331" s="200"/>
      <c r="B331" s="200"/>
      <c r="C331" s="198"/>
      <c r="D331" s="198"/>
      <c r="E331" s="197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</row>
    <row r="332" ht="15.75" customHeight="1">
      <c r="A332" s="200"/>
      <c r="B332" s="200"/>
      <c r="C332" s="198"/>
      <c r="D332" s="198"/>
      <c r="E332" s="197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</row>
    <row r="333" ht="15.75" customHeight="1">
      <c r="A333" s="200"/>
      <c r="B333" s="200"/>
      <c r="C333" s="198"/>
      <c r="D333" s="198"/>
      <c r="E333" s="197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</row>
    <row r="334" ht="15.75" customHeight="1">
      <c r="A334" s="200"/>
      <c r="B334" s="200"/>
      <c r="C334" s="198"/>
      <c r="D334" s="198"/>
      <c r="E334" s="197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</row>
    <row r="335" ht="15.75" customHeight="1">
      <c r="A335" s="200"/>
      <c r="B335" s="200"/>
      <c r="C335" s="198"/>
      <c r="D335" s="198"/>
      <c r="E335" s="197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</row>
    <row r="336" ht="15.75" customHeight="1">
      <c r="A336" s="200"/>
      <c r="B336" s="200"/>
      <c r="C336" s="198"/>
      <c r="D336" s="198"/>
      <c r="E336" s="197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</row>
    <row r="337" ht="15.75" customHeight="1">
      <c r="A337" s="200"/>
      <c r="B337" s="200"/>
      <c r="C337" s="198"/>
      <c r="D337" s="198"/>
      <c r="E337" s="197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</row>
    <row r="338" ht="15.75" customHeight="1">
      <c r="A338" s="200"/>
      <c r="B338" s="200"/>
      <c r="C338" s="198"/>
      <c r="D338" s="198"/>
      <c r="E338" s="197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</row>
    <row r="339" ht="15.75" customHeight="1">
      <c r="A339" s="200"/>
      <c r="B339" s="200"/>
      <c r="C339" s="198"/>
      <c r="D339" s="198"/>
      <c r="E339" s="197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</row>
    <row r="340" ht="15.75" customHeight="1">
      <c r="A340" s="200"/>
      <c r="B340" s="200"/>
      <c r="C340" s="198"/>
      <c r="D340" s="198"/>
      <c r="E340" s="197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</row>
    <row r="341" ht="15.75" customHeight="1">
      <c r="A341" s="200"/>
      <c r="B341" s="200"/>
      <c r="C341" s="198"/>
      <c r="D341" s="198"/>
      <c r="E341" s="197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</row>
    <row r="342" ht="15.75" customHeight="1">
      <c r="A342" s="200"/>
      <c r="B342" s="200"/>
      <c r="C342" s="198"/>
      <c r="D342" s="198"/>
      <c r="E342" s="197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</row>
    <row r="343" ht="15.75" customHeight="1">
      <c r="A343" s="200"/>
      <c r="B343" s="200"/>
      <c r="C343" s="198"/>
      <c r="D343" s="198"/>
      <c r="E343" s="197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</row>
    <row r="344" ht="15.75" customHeight="1">
      <c r="A344" s="200"/>
      <c r="B344" s="200"/>
      <c r="C344" s="198"/>
      <c r="D344" s="198"/>
      <c r="E344" s="197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</row>
    <row r="345" ht="15.75" customHeight="1">
      <c r="A345" s="200"/>
      <c r="B345" s="200"/>
      <c r="C345" s="198"/>
      <c r="D345" s="198"/>
      <c r="E345" s="197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</row>
    <row r="346" ht="15.75" customHeight="1">
      <c r="A346" s="200"/>
      <c r="B346" s="200"/>
      <c r="C346" s="198"/>
      <c r="D346" s="198"/>
      <c r="E346" s="197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</row>
    <row r="347" ht="15.75" customHeight="1">
      <c r="A347" s="200"/>
      <c r="B347" s="200"/>
      <c r="C347" s="198"/>
      <c r="D347" s="198"/>
      <c r="E347" s="197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</row>
    <row r="348" ht="15.75" customHeight="1">
      <c r="A348" s="200"/>
      <c r="B348" s="200"/>
      <c r="C348" s="198"/>
      <c r="D348" s="198"/>
      <c r="E348" s="197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</row>
    <row r="349" ht="15.75" customHeight="1">
      <c r="A349" s="200"/>
      <c r="B349" s="200"/>
      <c r="C349" s="198"/>
      <c r="D349" s="198"/>
      <c r="E349" s="197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</row>
    <row r="350" ht="15.75" customHeight="1">
      <c r="A350" s="200"/>
      <c r="B350" s="200"/>
      <c r="C350" s="198"/>
      <c r="D350" s="198"/>
      <c r="E350" s="197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</row>
    <row r="351" ht="15.75" customHeight="1">
      <c r="A351" s="200"/>
      <c r="B351" s="200"/>
      <c r="C351" s="198"/>
      <c r="D351" s="198"/>
      <c r="E351" s="197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</row>
    <row r="352" ht="15.75" customHeight="1">
      <c r="A352" s="200"/>
      <c r="B352" s="200"/>
      <c r="C352" s="198"/>
      <c r="D352" s="198"/>
      <c r="E352" s="197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</row>
    <row r="353" ht="15.75" customHeight="1">
      <c r="A353" s="200"/>
      <c r="B353" s="200"/>
      <c r="C353" s="198"/>
      <c r="D353" s="198"/>
      <c r="E353" s="197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</row>
    <row r="354" ht="15.75" customHeight="1">
      <c r="A354" s="200"/>
      <c r="B354" s="200"/>
      <c r="C354" s="198"/>
      <c r="D354" s="198"/>
      <c r="E354" s="197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</row>
    <row r="355" ht="15.75" customHeight="1">
      <c r="A355" s="200"/>
      <c r="B355" s="200"/>
      <c r="C355" s="198"/>
      <c r="D355" s="198"/>
      <c r="E355" s="197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</row>
    <row r="356" ht="15.75" customHeight="1">
      <c r="A356" s="200"/>
      <c r="B356" s="200"/>
      <c r="C356" s="198"/>
      <c r="D356" s="198"/>
      <c r="E356" s="197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</row>
    <row r="357" ht="15.75" customHeight="1">
      <c r="A357" s="200"/>
      <c r="B357" s="200"/>
      <c r="C357" s="198"/>
      <c r="D357" s="198"/>
      <c r="E357" s="197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</row>
    <row r="358" ht="15.75" customHeight="1">
      <c r="A358" s="200"/>
      <c r="B358" s="200"/>
      <c r="C358" s="198"/>
      <c r="D358" s="198"/>
      <c r="E358" s="197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</row>
    <row r="359" ht="15.75" customHeight="1">
      <c r="A359" s="200"/>
      <c r="B359" s="200"/>
      <c r="C359" s="198"/>
      <c r="D359" s="198"/>
      <c r="E359" s="197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</row>
    <row r="360" ht="15.75" customHeight="1">
      <c r="A360" s="200"/>
      <c r="B360" s="200"/>
      <c r="C360" s="198"/>
      <c r="D360" s="198"/>
      <c r="E360" s="197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</row>
    <row r="361" ht="15.75" customHeight="1">
      <c r="A361" s="200"/>
      <c r="B361" s="200"/>
      <c r="C361" s="198"/>
      <c r="D361" s="198"/>
      <c r="E361" s="197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</row>
    <row r="362" ht="15.75" customHeight="1">
      <c r="A362" s="200"/>
      <c r="B362" s="200"/>
      <c r="C362" s="198"/>
      <c r="D362" s="198"/>
      <c r="E362" s="197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</row>
    <row r="363" ht="15.75" customHeight="1">
      <c r="A363" s="200"/>
      <c r="B363" s="200"/>
      <c r="C363" s="198"/>
      <c r="D363" s="198"/>
      <c r="E363" s="197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</row>
    <row r="364" ht="15.75" customHeight="1">
      <c r="A364" s="200"/>
      <c r="B364" s="200"/>
      <c r="C364" s="198"/>
      <c r="D364" s="198"/>
      <c r="E364" s="197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</row>
    <row r="365" ht="15.75" customHeight="1">
      <c r="A365" s="200"/>
      <c r="B365" s="200"/>
      <c r="C365" s="198"/>
      <c r="D365" s="198"/>
      <c r="E365" s="197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</row>
    <row r="366" ht="15.75" customHeight="1">
      <c r="A366" s="200"/>
      <c r="B366" s="200"/>
      <c r="C366" s="198"/>
      <c r="D366" s="198"/>
      <c r="E366" s="197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</row>
    <row r="367" ht="15.75" customHeight="1">
      <c r="A367" s="200"/>
      <c r="B367" s="200"/>
      <c r="C367" s="198"/>
      <c r="D367" s="198"/>
      <c r="E367" s="197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</row>
    <row r="368" ht="15.75" customHeight="1">
      <c r="A368" s="200"/>
      <c r="B368" s="200"/>
      <c r="C368" s="198"/>
      <c r="D368" s="198"/>
      <c r="E368" s="197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</row>
    <row r="369" ht="15.75" customHeight="1">
      <c r="A369" s="200"/>
      <c r="B369" s="200"/>
      <c r="C369" s="198"/>
      <c r="D369" s="198"/>
      <c r="E369" s="197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</row>
    <row r="370" ht="15.75" customHeight="1">
      <c r="A370" s="200"/>
      <c r="B370" s="200"/>
      <c r="C370" s="198"/>
      <c r="D370" s="198"/>
      <c r="E370" s="197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</row>
    <row r="371" ht="15.75" customHeight="1">
      <c r="A371" s="200"/>
      <c r="B371" s="200"/>
      <c r="C371" s="198"/>
      <c r="D371" s="198"/>
      <c r="E371" s="197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</row>
    <row r="372" ht="15.75" customHeight="1">
      <c r="A372" s="200"/>
      <c r="B372" s="200"/>
      <c r="C372" s="198"/>
      <c r="D372" s="198"/>
      <c r="E372" s="197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</row>
    <row r="373" ht="15.75" customHeight="1">
      <c r="A373" s="200"/>
      <c r="B373" s="200"/>
      <c r="C373" s="198"/>
      <c r="D373" s="198"/>
      <c r="E373" s="197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</row>
    <row r="374" ht="15.75" customHeight="1">
      <c r="A374" s="200"/>
      <c r="B374" s="200"/>
      <c r="C374" s="198"/>
      <c r="D374" s="198"/>
      <c r="E374" s="197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</row>
    <row r="375" ht="15.75" customHeight="1">
      <c r="A375" s="200"/>
      <c r="B375" s="200"/>
      <c r="C375" s="198"/>
      <c r="D375" s="198"/>
      <c r="E375" s="197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</row>
    <row r="376" ht="15.75" customHeight="1">
      <c r="A376" s="200"/>
      <c r="B376" s="200"/>
      <c r="C376" s="198"/>
      <c r="D376" s="198"/>
      <c r="E376" s="197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</row>
    <row r="377" ht="15.75" customHeight="1">
      <c r="A377" s="200"/>
      <c r="B377" s="200"/>
      <c r="C377" s="198"/>
      <c r="D377" s="198"/>
      <c r="E377" s="197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</row>
    <row r="378" ht="15.75" customHeight="1">
      <c r="A378" s="200"/>
      <c r="B378" s="200"/>
      <c r="C378" s="198"/>
      <c r="D378" s="198"/>
      <c r="E378" s="197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</row>
    <row r="379" ht="15.75" customHeight="1">
      <c r="A379" s="200"/>
      <c r="B379" s="200"/>
      <c r="C379" s="198"/>
      <c r="D379" s="198"/>
      <c r="E379" s="197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</row>
    <row r="380" ht="15.75" customHeight="1">
      <c r="A380" s="200"/>
      <c r="B380" s="200"/>
      <c r="C380" s="198"/>
      <c r="D380" s="198"/>
      <c r="E380" s="197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</row>
    <row r="381" ht="15.75" customHeight="1">
      <c r="A381" s="200"/>
      <c r="B381" s="200"/>
      <c r="C381" s="198"/>
      <c r="D381" s="198"/>
      <c r="E381" s="197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</row>
    <row r="382" ht="15.75" customHeight="1">
      <c r="A382" s="200"/>
      <c r="B382" s="200"/>
      <c r="C382" s="198"/>
      <c r="D382" s="198"/>
      <c r="E382" s="197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</row>
    <row r="383" ht="15.75" customHeight="1">
      <c r="A383" s="200"/>
      <c r="B383" s="200"/>
      <c r="C383" s="198"/>
      <c r="D383" s="198"/>
      <c r="E383" s="197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</row>
    <row r="384" ht="15.75" customHeight="1">
      <c r="A384" s="200"/>
      <c r="B384" s="200"/>
      <c r="C384" s="198"/>
      <c r="D384" s="198"/>
      <c r="E384" s="197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</row>
    <row r="385" ht="15.75" customHeight="1">
      <c r="A385" s="200"/>
      <c r="B385" s="200"/>
      <c r="C385" s="198"/>
      <c r="D385" s="198"/>
      <c r="E385" s="197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</row>
    <row r="386" ht="15.75" customHeight="1">
      <c r="A386" s="200"/>
      <c r="B386" s="200"/>
      <c r="C386" s="198"/>
      <c r="D386" s="198"/>
      <c r="E386" s="197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</row>
    <row r="387" ht="15.75" customHeight="1">
      <c r="A387" s="200"/>
      <c r="B387" s="200"/>
      <c r="C387" s="198"/>
      <c r="D387" s="198"/>
      <c r="E387" s="197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</row>
    <row r="388" ht="15.75" customHeight="1">
      <c r="A388" s="200"/>
      <c r="B388" s="200"/>
      <c r="C388" s="198"/>
      <c r="D388" s="198"/>
      <c r="E388" s="197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</row>
    <row r="389" ht="15.75" customHeight="1">
      <c r="A389" s="200"/>
      <c r="B389" s="200"/>
      <c r="C389" s="198"/>
      <c r="D389" s="198"/>
      <c r="E389" s="197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</row>
    <row r="390" ht="15.75" customHeight="1">
      <c r="A390" s="200"/>
      <c r="B390" s="200"/>
      <c r="C390" s="198"/>
      <c r="D390" s="198"/>
      <c r="E390" s="197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</row>
    <row r="391" ht="15.75" customHeight="1">
      <c r="A391" s="200"/>
      <c r="B391" s="200"/>
      <c r="C391" s="198"/>
      <c r="D391" s="198"/>
      <c r="E391" s="197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</row>
    <row r="392" ht="15.75" customHeight="1">
      <c r="A392" s="200"/>
      <c r="B392" s="200"/>
      <c r="C392" s="198"/>
      <c r="D392" s="198"/>
      <c r="E392" s="197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</row>
    <row r="393" ht="15.75" customHeight="1">
      <c r="A393" s="200"/>
      <c r="B393" s="200"/>
      <c r="C393" s="198"/>
      <c r="D393" s="198"/>
      <c r="E393" s="197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</row>
    <row r="394" ht="15.75" customHeight="1">
      <c r="A394" s="200"/>
      <c r="B394" s="200"/>
      <c r="C394" s="198"/>
      <c r="D394" s="198"/>
      <c r="E394" s="197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</row>
    <row r="395" ht="15.75" customHeight="1">
      <c r="A395" s="200"/>
      <c r="B395" s="200"/>
      <c r="C395" s="198"/>
      <c r="D395" s="198"/>
      <c r="E395" s="197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</row>
    <row r="396" ht="15.75" customHeight="1">
      <c r="A396" s="200"/>
      <c r="B396" s="200"/>
      <c r="C396" s="198"/>
      <c r="D396" s="198"/>
      <c r="E396" s="197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</row>
    <row r="397" ht="15.75" customHeight="1">
      <c r="A397" s="200"/>
      <c r="B397" s="200"/>
      <c r="C397" s="198"/>
      <c r="D397" s="198"/>
      <c r="E397" s="197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</row>
    <row r="398" ht="15.75" customHeight="1">
      <c r="A398" s="200"/>
      <c r="B398" s="200"/>
      <c r="C398" s="198"/>
      <c r="D398" s="198"/>
      <c r="E398" s="197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</row>
    <row r="399" ht="15.75" customHeight="1">
      <c r="A399" s="200"/>
      <c r="B399" s="200"/>
      <c r="C399" s="198"/>
      <c r="D399" s="198"/>
      <c r="E399" s="197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</row>
    <row r="400" ht="15.75" customHeight="1">
      <c r="A400" s="200"/>
      <c r="B400" s="200"/>
      <c r="C400" s="198"/>
      <c r="D400" s="198"/>
      <c r="E400" s="197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</row>
    <row r="401" ht="15.75" customHeight="1">
      <c r="A401" s="200"/>
      <c r="B401" s="200"/>
      <c r="C401" s="198"/>
      <c r="D401" s="198"/>
      <c r="E401" s="197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</row>
    <row r="402" ht="15.75" customHeight="1">
      <c r="A402" s="200"/>
      <c r="B402" s="200"/>
      <c r="C402" s="198"/>
      <c r="D402" s="198"/>
      <c r="E402" s="197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</row>
    <row r="403" ht="15.75" customHeight="1">
      <c r="A403" s="200"/>
      <c r="B403" s="200"/>
      <c r="C403" s="198"/>
      <c r="D403" s="198"/>
      <c r="E403" s="197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</row>
    <row r="404" ht="15.75" customHeight="1">
      <c r="A404" s="200"/>
      <c r="B404" s="200"/>
      <c r="C404" s="198"/>
      <c r="D404" s="198"/>
      <c r="E404" s="197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</row>
    <row r="405" ht="15.75" customHeight="1">
      <c r="A405" s="200"/>
      <c r="B405" s="200"/>
      <c r="C405" s="198"/>
      <c r="D405" s="198"/>
      <c r="E405" s="197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</row>
    <row r="406" ht="15.75" customHeight="1">
      <c r="A406" s="200"/>
      <c r="B406" s="200"/>
      <c r="C406" s="198"/>
      <c r="D406" s="198"/>
      <c r="E406" s="197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</row>
    <row r="407" ht="15.75" customHeight="1">
      <c r="A407" s="200"/>
      <c r="B407" s="200"/>
      <c r="C407" s="198"/>
      <c r="D407" s="198"/>
      <c r="E407" s="197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</row>
    <row r="408" ht="15.75" customHeight="1">
      <c r="A408" s="200"/>
      <c r="B408" s="200"/>
      <c r="C408" s="198"/>
      <c r="D408" s="198"/>
      <c r="E408" s="197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</row>
    <row r="409" ht="15.75" customHeight="1">
      <c r="A409" s="200"/>
      <c r="B409" s="200"/>
      <c r="C409" s="198"/>
      <c r="D409" s="198"/>
      <c r="E409" s="197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</row>
    <row r="410" ht="15.75" customHeight="1">
      <c r="A410" s="200"/>
      <c r="B410" s="200"/>
      <c r="C410" s="198"/>
      <c r="D410" s="198"/>
      <c r="E410" s="197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</row>
    <row r="411" ht="15.75" customHeight="1">
      <c r="A411" s="200"/>
      <c r="B411" s="200"/>
      <c r="C411" s="198"/>
      <c r="D411" s="198"/>
      <c r="E411" s="197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</row>
    <row r="412" ht="15.75" customHeight="1">
      <c r="A412" s="200"/>
      <c r="B412" s="200"/>
      <c r="C412" s="198"/>
      <c r="D412" s="198"/>
      <c r="E412" s="197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</row>
    <row r="413" ht="15.75" customHeight="1">
      <c r="A413" s="200"/>
      <c r="B413" s="200"/>
      <c r="C413" s="198"/>
      <c r="D413" s="198"/>
      <c r="E413" s="197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</row>
    <row r="414" ht="15.75" customHeight="1">
      <c r="A414" s="200"/>
      <c r="B414" s="200"/>
      <c r="C414" s="198"/>
      <c r="D414" s="198"/>
      <c r="E414" s="197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</row>
    <row r="415" ht="15.75" customHeight="1">
      <c r="A415" s="200"/>
      <c r="B415" s="200"/>
      <c r="C415" s="198"/>
      <c r="D415" s="198"/>
      <c r="E415" s="197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</row>
    <row r="416" ht="15.75" customHeight="1">
      <c r="A416" s="200"/>
      <c r="B416" s="200"/>
      <c r="C416" s="198"/>
      <c r="D416" s="198"/>
      <c r="E416" s="197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</row>
    <row r="417" ht="15.75" customHeight="1">
      <c r="A417" s="200"/>
      <c r="B417" s="200"/>
      <c r="C417" s="198"/>
      <c r="D417" s="198"/>
      <c r="E417" s="197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</row>
    <row r="418" ht="15.75" customHeight="1">
      <c r="A418" s="200"/>
      <c r="B418" s="200"/>
      <c r="C418" s="198"/>
      <c r="D418" s="198"/>
      <c r="E418" s="197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</row>
    <row r="419" ht="15.75" customHeight="1">
      <c r="A419" s="200"/>
      <c r="B419" s="200"/>
      <c r="C419" s="198"/>
      <c r="D419" s="198"/>
      <c r="E419" s="197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</row>
    <row r="420" ht="15.75" customHeight="1">
      <c r="A420" s="200"/>
      <c r="B420" s="200"/>
      <c r="C420" s="198"/>
      <c r="D420" s="198"/>
      <c r="E420" s="197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</row>
    <row r="421" ht="15.75" customHeight="1">
      <c r="A421" s="200"/>
      <c r="B421" s="200"/>
      <c r="C421" s="198"/>
      <c r="D421" s="198"/>
      <c r="E421" s="197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</row>
    <row r="422" ht="15.75" customHeight="1">
      <c r="A422" s="200"/>
      <c r="B422" s="200"/>
      <c r="C422" s="198"/>
      <c r="D422" s="198"/>
      <c r="E422" s="197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</row>
    <row r="423" ht="15.75" customHeight="1">
      <c r="A423" s="200"/>
      <c r="B423" s="200"/>
      <c r="C423" s="198"/>
      <c r="D423" s="198"/>
      <c r="E423" s="197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</row>
    <row r="424" ht="15.75" customHeight="1">
      <c r="A424" s="200"/>
      <c r="B424" s="200"/>
      <c r="C424" s="198"/>
      <c r="D424" s="198"/>
      <c r="E424" s="197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</row>
    <row r="425" ht="15.75" customHeight="1">
      <c r="A425" s="200"/>
      <c r="B425" s="200"/>
      <c r="C425" s="198"/>
      <c r="D425" s="198"/>
      <c r="E425" s="197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</row>
    <row r="426" ht="15.75" customHeight="1">
      <c r="A426" s="200"/>
      <c r="B426" s="200"/>
      <c r="C426" s="198"/>
      <c r="D426" s="198"/>
      <c r="E426" s="197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</row>
    <row r="427" ht="15.75" customHeight="1">
      <c r="A427" s="200"/>
      <c r="B427" s="200"/>
      <c r="C427" s="198"/>
      <c r="D427" s="198"/>
      <c r="E427" s="197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</row>
    <row r="428" ht="15.75" customHeight="1">
      <c r="A428" s="200"/>
      <c r="B428" s="200"/>
      <c r="C428" s="198"/>
      <c r="D428" s="198"/>
      <c r="E428" s="197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</row>
    <row r="429" ht="15.75" customHeight="1">
      <c r="A429" s="200"/>
      <c r="B429" s="200"/>
      <c r="C429" s="198"/>
      <c r="D429" s="198"/>
      <c r="E429" s="197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</row>
    <row r="430" ht="15.75" customHeight="1">
      <c r="A430" s="200"/>
      <c r="B430" s="200"/>
      <c r="C430" s="198"/>
      <c r="D430" s="198"/>
      <c r="E430" s="197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</row>
    <row r="431" ht="15.75" customHeight="1">
      <c r="A431" s="200"/>
      <c r="B431" s="200"/>
      <c r="C431" s="198"/>
      <c r="D431" s="198"/>
      <c r="E431" s="197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</row>
    <row r="432" ht="15.75" customHeight="1">
      <c r="A432" s="200"/>
      <c r="B432" s="200"/>
      <c r="C432" s="198"/>
      <c r="D432" s="198"/>
      <c r="E432" s="197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</row>
    <row r="433" ht="15.75" customHeight="1">
      <c r="A433" s="200"/>
      <c r="B433" s="200"/>
      <c r="C433" s="198"/>
      <c r="D433" s="198"/>
      <c r="E433" s="197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</row>
    <row r="434" ht="15.75" customHeight="1">
      <c r="A434" s="200"/>
      <c r="B434" s="200"/>
      <c r="C434" s="198"/>
      <c r="D434" s="198"/>
      <c r="E434" s="197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</row>
    <row r="435" ht="15.75" customHeight="1">
      <c r="A435" s="200"/>
      <c r="B435" s="200"/>
      <c r="C435" s="198"/>
      <c r="D435" s="198"/>
      <c r="E435" s="197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</row>
    <row r="436" ht="15.75" customHeight="1">
      <c r="A436" s="200"/>
      <c r="B436" s="200"/>
      <c r="C436" s="198"/>
      <c r="D436" s="198"/>
      <c r="E436" s="197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</row>
    <row r="437" ht="15.75" customHeight="1">
      <c r="A437" s="200"/>
      <c r="B437" s="200"/>
      <c r="C437" s="198"/>
      <c r="D437" s="198"/>
      <c r="E437" s="197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</row>
    <row r="438" ht="15.75" customHeight="1">
      <c r="A438" s="200"/>
      <c r="B438" s="200"/>
      <c r="C438" s="198"/>
      <c r="D438" s="198"/>
      <c r="E438" s="197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</row>
    <row r="439" ht="15.75" customHeight="1">
      <c r="A439" s="200"/>
      <c r="B439" s="200"/>
      <c r="C439" s="198"/>
      <c r="D439" s="198"/>
      <c r="E439" s="197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</row>
    <row r="440" ht="15.75" customHeight="1">
      <c r="A440" s="200"/>
      <c r="B440" s="200"/>
      <c r="C440" s="198"/>
      <c r="D440" s="198"/>
      <c r="E440" s="197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</row>
    <row r="441" ht="15.75" customHeight="1">
      <c r="A441" s="200"/>
      <c r="B441" s="200"/>
      <c r="C441" s="198"/>
      <c r="D441" s="198"/>
      <c r="E441" s="197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</row>
    <row r="442" ht="15.75" customHeight="1">
      <c r="A442" s="200"/>
      <c r="B442" s="200"/>
      <c r="C442" s="198"/>
      <c r="D442" s="198"/>
      <c r="E442" s="197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</row>
    <row r="443" ht="15.75" customHeight="1">
      <c r="A443" s="200"/>
      <c r="B443" s="200"/>
      <c r="C443" s="198"/>
      <c r="D443" s="198"/>
      <c r="E443" s="197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</row>
    <row r="444" ht="15.75" customHeight="1">
      <c r="A444" s="200"/>
      <c r="B444" s="200"/>
      <c r="C444" s="198"/>
      <c r="D444" s="198"/>
      <c r="E444" s="197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</row>
    <row r="445" ht="15.75" customHeight="1">
      <c r="A445" s="200"/>
      <c r="B445" s="200"/>
      <c r="C445" s="198"/>
      <c r="D445" s="198"/>
      <c r="E445" s="197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</row>
    <row r="446" ht="15.75" customHeight="1">
      <c r="A446" s="200"/>
      <c r="B446" s="200"/>
      <c r="C446" s="198"/>
      <c r="D446" s="198"/>
      <c r="E446" s="197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</row>
    <row r="447" ht="15.75" customHeight="1">
      <c r="A447" s="200"/>
      <c r="B447" s="200"/>
      <c r="C447" s="198"/>
      <c r="D447" s="198"/>
      <c r="E447" s="197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</row>
    <row r="448" ht="15.75" customHeight="1">
      <c r="A448" s="200"/>
      <c r="B448" s="200"/>
      <c r="C448" s="198"/>
      <c r="D448" s="198"/>
      <c r="E448" s="197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</row>
    <row r="449" ht="15.75" customHeight="1">
      <c r="A449" s="200"/>
      <c r="B449" s="200"/>
      <c r="C449" s="198"/>
      <c r="D449" s="198"/>
      <c r="E449" s="197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</row>
    <row r="450" ht="15.75" customHeight="1">
      <c r="A450" s="200"/>
      <c r="B450" s="200"/>
      <c r="C450" s="198"/>
      <c r="D450" s="198"/>
      <c r="E450" s="197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</row>
    <row r="451" ht="15.75" customHeight="1">
      <c r="A451" s="200"/>
      <c r="B451" s="200"/>
      <c r="C451" s="198"/>
      <c r="D451" s="198"/>
      <c r="E451" s="197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</row>
    <row r="452" ht="15.75" customHeight="1">
      <c r="A452" s="200"/>
      <c r="B452" s="200"/>
      <c r="C452" s="198"/>
      <c r="D452" s="198"/>
      <c r="E452" s="197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</row>
    <row r="453" ht="15.75" customHeight="1">
      <c r="A453" s="200"/>
      <c r="B453" s="200"/>
      <c r="C453" s="198"/>
      <c r="D453" s="198"/>
      <c r="E453" s="197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</row>
    <row r="454" ht="15.75" customHeight="1">
      <c r="A454" s="200"/>
      <c r="B454" s="200"/>
      <c r="C454" s="198"/>
      <c r="D454" s="198"/>
      <c r="E454" s="197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</row>
    <row r="455" ht="15.75" customHeight="1">
      <c r="A455" s="200"/>
      <c r="B455" s="200"/>
      <c r="C455" s="198"/>
      <c r="D455" s="198"/>
      <c r="E455" s="197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</row>
    <row r="456" ht="15.75" customHeight="1">
      <c r="A456" s="200"/>
      <c r="B456" s="200"/>
      <c r="C456" s="198"/>
      <c r="D456" s="198"/>
      <c r="E456" s="197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</row>
    <row r="457" ht="15.75" customHeight="1">
      <c r="A457" s="200"/>
      <c r="B457" s="200"/>
      <c r="C457" s="198"/>
      <c r="D457" s="198"/>
      <c r="E457" s="197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</row>
    <row r="458" ht="15.75" customHeight="1">
      <c r="A458" s="200"/>
      <c r="B458" s="200"/>
      <c r="C458" s="198"/>
      <c r="D458" s="198"/>
      <c r="E458" s="197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</row>
    <row r="459" ht="15.75" customHeight="1">
      <c r="A459" s="200"/>
      <c r="B459" s="200"/>
      <c r="C459" s="198"/>
      <c r="D459" s="198"/>
      <c r="E459" s="197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</row>
    <row r="460" ht="15.75" customHeight="1">
      <c r="A460" s="200"/>
      <c r="B460" s="200"/>
      <c r="C460" s="198"/>
      <c r="D460" s="198"/>
      <c r="E460" s="197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</row>
    <row r="461" ht="15.75" customHeight="1">
      <c r="A461" s="200"/>
      <c r="B461" s="200"/>
      <c r="C461" s="198"/>
      <c r="D461" s="198"/>
      <c r="E461" s="197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</row>
    <row r="462" ht="15.75" customHeight="1">
      <c r="A462" s="200"/>
      <c r="B462" s="200"/>
      <c r="C462" s="198"/>
      <c r="D462" s="198"/>
      <c r="E462" s="197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</row>
    <row r="463" ht="15.75" customHeight="1">
      <c r="A463" s="200"/>
      <c r="B463" s="200"/>
      <c r="C463" s="198"/>
      <c r="D463" s="198"/>
      <c r="E463" s="197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</row>
    <row r="464" ht="15.75" customHeight="1">
      <c r="A464" s="200"/>
      <c r="B464" s="200"/>
      <c r="C464" s="198"/>
      <c r="D464" s="198"/>
      <c r="E464" s="197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</row>
    <row r="465" ht="15.75" customHeight="1">
      <c r="A465" s="200"/>
      <c r="B465" s="200"/>
      <c r="C465" s="198"/>
      <c r="D465" s="198"/>
      <c r="E465" s="197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</row>
    <row r="466" ht="15.75" customHeight="1">
      <c r="A466" s="200"/>
      <c r="B466" s="200"/>
      <c r="C466" s="198"/>
      <c r="D466" s="198"/>
      <c r="E466" s="197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</row>
    <row r="467" ht="15.75" customHeight="1">
      <c r="A467" s="200"/>
      <c r="B467" s="200"/>
      <c r="C467" s="198"/>
      <c r="D467" s="198"/>
      <c r="E467" s="197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</row>
    <row r="468" ht="15.75" customHeight="1">
      <c r="A468" s="200"/>
      <c r="B468" s="200"/>
      <c r="C468" s="198"/>
      <c r="D468" s="198"/>
      <c r="E468" s="197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</row>
    <row r="469" ht="15.75" customHeight="1">
      <c r="A469" s="200"/>
      <c r="B469" s="200"/>
      <c r="C469" s="198"/>
      <c r="D469" s="198"/>
      <c r="E469" s="197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</row>
    <row r="470" ht="15.75" customHeight="1">
      <c r="A470" s="200"/>
      <c r="B470" s="200"/>
      <c r="C470" s="198"/>
      <c r="D470" s="198"/>
      <c r="E470" s="197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</row>
    <row r="471" ht="15.75" customHeight="1">
      <c r="A471" s="200"/>
      <c r="B471" s="200"/>
      <c r="C471" s="198"/>
      <c r="D471" s="198"/>
      <c r="E471" s="197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</row>
    <row r="472" ht="15.75" customHeight="1">
      <c r="A472" s="200"/>
      <c r="B472" s="200"/>
      <c r="C472" s="198"/>
      <c r="D472" s="198"/>
      <c r="E472" s="197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</row>
    <row r="473" ht="15.75" customHeight="1">
      <c r="A473" s="200"/>
      <c r="B473" s="200"/>
      <c r="C473" s="198"/>
      <c r="D473" s="198"/>
      <c r="E473" s="197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</row>
    <row r="474" ht="15.75" customHeight="1">
      <c r="A474" s="200"/>
      <c r="B474" s="200"/>
      <c r="C474" s="198"/>
      <c r="D474" s="198"/>
      <c r="E474" s="197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</row>
    <row r="475" ht="15.75" customHeight="1">
      <c r="A475" s="200"/>
      <c r="B475" s="200"/>
      <c r="C475" s="198"/>
      <c r="D475" s="198"/>
      <c r="E475" s="197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</row>
    <row r="476" ht="15.75" customHeight="1">
      <c r="A476" s="200"/>
      <c r="B476" s="200"/>
      <c r="C476" s="198"/>
      <c r="D476" s="198"/>
      <c r="E476" s="197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</row>
    <row r="477" ht="15.75" customHeight="1">
      <c r="A477" s="200"/>
      <c r="B477" s="200"/>
      <c r="C477" s="198"/>
      <c r="D477" s="198"/>
      <c r="E477" s="197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</row>
    <row r="478" ht="15.75" customHeight="1">
      <c r="A478" s="200"/>
      <c r="B478" s="200"/>
      <c r="C478" s="198"/>
      <c r="D478" s="198"/>
      <c r="E478" s="197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</row>
    <row r="479" ht="15.75" customHeight="1">
      <c r="A479" s="200"/>
      <c r="B479" s="200"/>
      <c r="C479" s="198"/>
      <c r="D479" s="198"/>
      <c r="E479" s="197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</row>
    <row r="480" ht="15.75" customHeight="1">
      <c r="A480" s="200"/>
      <c r="B480" s="200"/>
      <c r="C480" s="198"/>
      <c r="D480" s="198"/>
      <c r="E480" s="197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</row>
    <row r="481" ht="15.75" customHeight="1">
      <c r="A481" s="200"/>
      <c r="B481" s="200"/>
      <c r="C481" s="198"/>
      <c r="D481" s="198"/>
      <c r="E481" s="197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</row>
    <row r="482" ht="15.75" customHeight="1">
      <c r="A482" s="200"/>
      <c r="B482" s="200"/>
      <c r="C482" s="198"/>
      <c r="D482" s="198"/>
      <c r="E482" s="197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</row>
    <row r="483" ht="15.75" customHeight="1">
      <c r="A483" s="200"/>
      <c r="B483" s="200"/>
      <c r="C483" s="198"/>
      <c r="D483" s="198"/>
      <c r="E483" s="197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</row>
    <row r="484" ht="15.75" customHeight="1">
      <c r="A484" s="200"/>
      <c r="B484" s="200"/>
      <c r="C484" s="198"/>
      <c r="D484" s="198"/>
      <c r="E484" s="197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</row>
    <row r="485" ht="15.75" customHeight="1">
      <c r="A485" s="200"/>
      <c r="B485" s="200"/>
      <c r="C485" s="198"/>
      <c r="D485" s="198"/>
      <c r="E485" s="197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</row>
    <row r="486" ht="15.75" customHeight="1">
      <c r="A486" s="200"/>
      <c r="B486" s="200"/>
      <c r="C486" s="198"/>
      <c r="D486" s="198"/>
      <c r="E486" s="197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</row>
    <row r="487" ht="15.75" customHeight="1">
      <c r="A487" s="200"/>
      <c r="B487" s="200"/>
      <c r="C487" s="198"/>
      <c r="D487" s="198"/>
      <c r="E487" s="197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</row>
    <row r="488" ht="15.75" customHeight="1">
      <c r="A488" s="200"/>
      <c r="B488" s="200"/>
      <c r="C488" s="198"/>
      <c r="D488" s="198"/>
      <c r="E488" s="197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</row>
    <row r="489" ht="15.75" customHeight="1">
      <c r="A489" s="200"/>
      <c r="B489" s="200"/>
      <c r="C489" s="198"/>
      <c r="D489" s="198"/>
      <c r="E489" s="197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</row>
    <row r="490" ht="15.75" customHeight="1">
      <c r="A490" s="200"/>
      <c r="B490" s="200"/>
      <c r="C490" s="198"/>
      <c r="D490" s="198"/>
      <c r="E490" s="197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</row>
    <row r="491" ht="15.75" customHeight="1">
      <c r="A491" s="200"/>
      <c r="B491" s="200"/>
      <c r="C491" s="198"/>
      <c r="D491" s="198"/>
      <c r="E491" s="197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</row>
    <row r="492" ht="15.75" customHeight="1">
      <c r="A492" s="200"/>
      <c r="B492" s="200"/>
      <c r="C492" s="198"/>
      <c r="D492" s="198"/>
      <c r="E492" s="197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</row>
    <row r="493" ht="15.75" customHeight="1">
      <c r="A493" s="200"/>
      <c r="B493" s="200"/>
      <c r="C493" s="198"/>
      <c r="D493" s="198"/>
      <c r="E493" s="197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</row>
    <row r="494" ht="15.75" customHeight="1">
      <c r="A494" s="200"/>
      <c r="B494" s="200"/>
      <c r="C494" s="198"/>
      <c r="D494" s="198"/>
      <c r="E494" s="197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</row>
    <row r="495" ht="15.75" customHeight="1">
      <c r="A495" s="200"/>
      <c r="B495" s="200"/>
      <c r="C495" s="198"/>
      <c r="D495" s="198"/>
      <c r="E495" s="197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</row>
    <row r="496" ht="15.75" customHeight="1">
      <c r="A496" s="200"/>
      <c r="B496" s="200"/>
      <c r="C496" s="198"/>
      <c r="D496" s="198"/>
      <c r="E496" s="197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</row>
    <row r="497" ht="15.75" customHeight="1">
      <c r="A497" s="200"/>
      <c r="B497" s="200"/>
      <c r="C497" s="198"/>
      <c r="D497" s="198"/>
      <c r="E497" s="197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</row>
    <row r="498" ht="15.75" customHeight="1">
      <c r="A498" s="200"/>
      <c r="B498" s="200"/>
      <c r="C498" s="198"/>
      <c r="D498" s="198"/>
      <c r="E498" s="197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</row>
    <row r="499" ht="15.75" customHeight="1">
      <c r="A499" s="200"/>
      <c r="B499" s="200"/>
      <c r="C499" s="198"/>
      <c r="D499" s="198"/>
      <c r="E499" s="197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</row>
    <row r="500" ht="15.75" customHeight="1">
      <c r="A500" s="200"/>
      <c r="B500" s="200"/>
      <c r="C500" s="198"/>
      <c r="D500" s="198"/>
      <c r="E500" s="197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</row>
    <row r="501" ht="15.75" customHeight="1">
      <c r="A501" s="200"/>
      <c r="B501" s="200"/>
      <c r="C501" s="198"/>
      <c r="D501" s="198"/>
      <c r="E501" s="197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</row>
    <row r="502" ht="15.75" customHeight="1">
      <c r="A502" s="200"/>
      <c r="B502" s="200"/>
      <c r="C502" s="198"/>
      <c r="D502" s="198"/>
      <c r="E502" s="197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</row>
    <row r="503" ht="15.75" customHeight="1">
      <c r="A503" s="200"/>
      <c r="B503" s="200"/>
      <c r="C503" s="198"/>
      <c r="D503" s="198"/>
      <c r="E503" s="197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</row>
    <row r="504" ht="15.75" customHeight="1">
      <c r="A504" s="200"/>
      <c r="B504" s="200"/>
      <c r="C504" s="198"/>
      <c r="D504" s="198"/>
      <c r="E504" s="197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</row>
    <row r="505" ht="15.75" customHeight="1">
      <c r="A505" s="200"/>
      <c r="B505" s="200"/>
      <c r="C505" s="198"/>
      <c r="D505" s="198"/>
      <c r="E505" s="197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</row>
    <row r="506" ht="15.75" customHeight="1">
      <c r="A506" s="200"/>
      <c r="B506" s="200"/>
      <c r="C506" s="198"/>
      <c r="D506" s="198"/>
      <c r="E506" s="197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</row>
    <row r="507" ht="15.75" customHeight="1">
      <c r="A507" s="200"/>
      <c r="B507" s="200"/>
      <c r="C507" s="198"/>
      <c r="D507" s="198"/>
      <c r="E507" s="197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</row>
    <row r="508" ht="15.75" customHeight="1">
      <c r="A508" s="200"/>
      <c r="B508" s="200"/>
      <c r="C508" s="198"/>
      <c r="D508" s="198"/>
      <c r="E508" s="197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</row>
    <row r="509" ht="15.75" customHeight="1">
      <c r="A509" s="200"/>
      <c r="B509" s="200"/>
      <c r="C509" s="198"/>
      <c r="D509" s="198"/>
      <c r="E509" s="197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</row>
    <row r="510" ht="15.75" customHeight="1">
      <c r="A510" s="200"/>
      <c r="B510" s="200"/>
      <c r="C510" s="198"/>
      <c r="D510" s="198"/>
      <c r="E510" s="197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</row>
    <row r="511" ht="15.75" customHeight="1">
      <c r="A511" s="200"/>
      <c r="B511" s="200"/>
      <c r="C511" s="198"/>
      <c r="D511" s="198"/>
      <c r="E511" s="197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</row>
    <row r="512" ht="15.75" customHeight="1">
      <c r="A512" s="200"/>
      <c r="B512" s="200"/>
      <c r="C512" s="198"/>
      <c r="D512" s="198"/>
      <c r="E512" s="197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</row>
    <row r="513" ht="15.75" customHeight="1">
      <c r="A513" s="200"/>
      <c r="B513" s="200"/>
      <c r="C513" s="198"/>
      <c r="D513" s="198"/>
      <c r="E513" s="197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</row>
    <row r="514" ht="15.75" customHeight="1">
      <c r="A514" s="200"/>
      <c r="B514" s="200"/>
      <c r="C514" s="198"/>
      <c r="D514" s="198"/>
      <c r="E514" s="197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</row>
    <row r="515" ht="15.75" customHeight="1">
      <c r="A515" s="200"/>
      <c r="B515" s="200"/>
      <c r="C515" s="198"/>
      <c r="D515" s="198"/>
      <c r="E515" s="197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</row>
    <row r="516" ht="15.75" customHeight="1">
      <c r="A516" s="200"/>
      <c r="B516" s="200"/>
      <c r="C516" s="198"/>
      <c r="D516" s="198"/>
      <c r="E516" s="197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</row>
    <row r="517" ht="15.75" customHeight="1">
      <c r="A517" s="200"/>
      <c r="B517" s="200"/>
      <c r="C517" s="198"/>
      <c r="D517" s="198"/>
      <c r="E517" s="197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</row>
    <row r="518" ht="15.75" customHeight="1">
      <c r="A518" s="200"/>
      <c r="B518" s="200"/>
      <c r="C518" s="198"/>
      <c r="D518" s="198"/>
      <c r="E518" s="197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</row>
    <row r="519" ht="15.75" customHeight="1">
      <c r="A519" s="200"/>
      <c r="B519" s="200"/>
      <c r="C519" s="198"/>
      <c r="D519" s="198"/>
      <c r="E519" s="197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</row>
    <row r="520" ht="15.75" customHeight="1">
      <c r="A520" s="200"/>
      <c r="B520" s="200"/>
      <c r="C520" s="198"/>
      <c r="D520" s="198"/>
      <c r="E520" s="197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</row>
    <row r="521" ht="15.75" customHeight="1">
      <c r="A521" s="200"/>
      <c r="B521" s="200"/>
      <c r="C521" s="198"/>
      <c r="D521" s="198"/>
      <c r="E521" s="197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</row>
    <row r="522" ht="15.75" customHeight="1">
      <c r="A522" s="200"/>
      <c r="B522" s="200"/>
      <c r="C522" s="198"/>
      <c r="D522" s="198"/>
      <c r="E522" s="197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</row>
    <row r="523" ht="15.75" customHeight="1">
      <c r="A523" s="200"/>
      <c r="B523" s="200"/>
      <c r="C523" s="198"/>
      <c r="D523" s="198"/>
      <c r="E523" s="197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</row>
    <row r="524" ht="15.75" customHeight="1">
      <c r="A524" s="200"/>
      <c r="B524" s="200"/>
      <c r="C524" s="198"/>
      <c r="D524" s="198"/>
      <c r="E524" s="197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</row>
    <row r="525" ht="15.75" customHeight="1">
      <c r="A525" s="200"/>
      <c r="B525" s="200"/>
      <c r="C525" s="198"/>
      <c r="D525" s="198"/>
      <c r="E525" s="197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</row>
    <row r="526" ht="15.75" customHeight="1">
      <c r="A526" s="200"/>
      <c r="B526" s="200"/>
      <c r="C526" s="198"/>
      <c r="D526" s="198"/>
      <c r="E526" s="197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</row>
    <row r="527" ht="15.75" customHeight="1">
      <c r="A527" s="200"/>
      <c r="B527" s="200"/>
      <c r="C527" s="198"/>
      <c r="D527" s="198"/>
      <c r="E527" s="197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</row>
    <row r="528" ht="15.75" customHeight="1">
      <c r="A528" s="200"/>
      <c r="B528" s="200"/>
      <c r="C528" s="198"/>
      <c r="D528" s="198"/>
      <c r="E528" s="197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</row>
    <row r="529" ht="15.75" customHeight="1">
      <c r="A529" s="200"/>
      <c r="B529" s="200"/>
      <c r="C529" s="198"/>
      <c r="D529" s="198"/>
      <c r="E529" s="197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</row>
    <row r="530" ht="15.75" customHeight="1">
      <c r="A530" s="200"/>
      <c r="B530" s="200"/>
      <c r="C530" s="198"/>
      <c r="D530" s="198"/>
      <c r="E530" s="197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</row>
    <row r="531" ht="15.75" customHeight="1">
      <c r="A531" s="200"/>
      <c r="B531" s="200"/>
      <c r="C531" s="198"/>
      <c r="D531" s="198"/>
      <c r="E531" s="197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</row>
    <row r="532" ht="15.75" customHeight="1">
      <c r="A532" s="200"/>
      <c r="B532" s="200"/>
      <c r="C532" s="198"/>
      <c r="D532" s="198"/>
      <c r="E532" s="197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</row>
    <row r="533" ht="15.75" customHeight="1">
      <c r="A533" s="200"/>
      <c r="B533" s="200"/>
      <c r="C533" s="198"/>
      <c r="D533" s="198"/>
      <c r="E533" s="197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</row>
    <row r="534" ht="15.75" customHeight="1">
      <c r="A534" s="200"/>
      <c r="B534" s="200"/>
      <c r="C534" s="198"/>
      <c r="D534" s="198"/>
      <c r="E534" s="197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</row>
    <row r="535" ht="15.75" customHeight="1">
      <c r="A535" s="200"/>
      <c r="B535" s="200"/>
      <c r="C535" s="198"/>
      <c r="D535" s="198"/>
      <c r="E535" s="197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</row>
    <row r="536" ht="15.75" customHeight="1">
      <c r="A536" s="200"/>
      <c r="B536" s="200"/>
      <c r="C536" s="198"/>
      <c r="D536" s="198"/>
      <c r="E536" s="197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</row>
    <row r="537" ht="15.75" customHeight="1">
      <c r="A537" s="200"/>
      <c r="B537" s="200"/>
      <c r="C537" s="198"/>
      <c r="D537" s="198"/>
      <c r="E537" s="197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</row>
    <row r="538" ht="15.75" customHeight="1">
      <c r="A538" s="200"/>
      <c r="B538" s="200"/>
      <c r="C538" s="198"/>
      <c r="D538" s="198"/>
      <c r="E538" s="197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</row>
    <row r="539" ht="15.75" customHeight="1">
      <c r="A539" s="200"/>
      <c r="B539" s="200"/>
      <c r="C539" s="198"/>
      <c r="D539" s="198"/>
      <c r="E539" s="197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</row>
    <row r="540" ht="15.75" customHeight="1">
      <c r="A540" s="200"/>
      <c r="B540" s="200"/>
      <c r="C540" s="198"/>
      <c r="D540" s="198"/>
      <c r="E540" s="197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</row>
    <row r="541" ht="15.75" customHeight="1">
      <c r="A541" s="200"/>
      <c r="B541" s="200"/>
      <c r="C541" s="198"/>
      <c r="D541" s="198"/>
      <c r="E541" s="197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</row>
    <row r="542" ht="15.75" customHeight="1">
      <c r="A542" s="200"/>
      <c r="B542" s="200"/>
      <c r="C542" s="198"/>
      <c r="D542" s="198"/>
      <c r="E542" s="197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</row>
    <row r="543" ht="15.75" customHeight="1">
      <c r="A543" s="200"/>
      <c r="B543" s="200"/>
      <c r="C543" s="198"/>
      <c r="D543" s="198"/>
      <c r="E543" s="197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</row>
    <row r="544" ht="15.75" customHeight="1">
      <c r="A544" s="200"/>
      <c r="B544" s="200"/>
      <c r="C544" s="198"/>
      <c r="D544" s="198"/>
      <c r="E544" s="197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</row>
    <row r="545" ht="15.75" customHeight="1">
      <c r="A545" s="200"/>
      <c r="B545" s="200"/>
      <c r="C545" s="198"/>
      <c r="D545" s="198"/>
      <c r="E545" s="197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</row>
    <row r="546" ht="15.75" customHeight="1">
      <c r="A546" s="200"/>
      <c r="B546" s="200"/>
      <c r="C546" s="198"/>
      <c r="D546" s="198"/>
      <c r="E546" s="197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</row>
    <row r="547" ht="15.75" customHeight="1">
      <c r="A547" s="200"/>
      <c r="B547" s="200"/>
      <c r="C547" s="198"/>
      <c r="D547" s="198"/>
      <c r="E547" s="197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</row>
    <row r="548" ht="15.75" customHeight="1">
      <c r="A548" s="200"/>
      <c r="B548" s="200"/>
      <c r="C548" s="198"/>
      <c r="D548" s="198"/>
      <c r="E548" s="197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</row>
    <row r="549" ht="15.75" customHeight="1">
      <c r="A549" s="200"/>
      <c r="B549" s="200"/>
      <c r="C549" s="198"/>
      <c r="D549" s="198"/>
      <c r="E549" s="197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</row>
    <row r="550" ht="15.75" customHeight="1">
      <c r="A550" s="200"/>
      <c r="B550" s="200"/>
      <c r="C550" s="198"/>
      <c r="D550" s="198"/>
      <c r="E550" s="197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</row>
    <row r="551" ht="15.75" customHeight="1">
      <c r="A551" s="200"/>
      <c r="B551" s="200"/>
      <c r="C551" s="198"/>
      <c r="D551" s="198"/>
      <c r="E551" s="197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</row>
    <row r="552" ht="15.75" customHeight="1">
      <c r="A552" s="200"/>
      <c r="B552" s="200"/>
      <c r="C552" s="198"/>
      <c r="D552" s="198"/>
      <c r="E552" s="197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</row>
    <row r="553" ht="15.75" customHeight="1">
      <c r="A553" s="200"/>
      <c r="B553" s="200"/>
      <c r="C553" s="198"/>
      <c r="D553" s="198"/>
      <c r="E553" s="197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</row>
    <row r="554" ht="15.75" customHeight="1">
      <c r="A554" s="200"/>
      <c r="B554" s="200"/>
      <c r="C554" s="198"/>
      <c r="D554" s="198"/>
      <c r="E554" s="197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</row>
    <row r="555" ht="15.75" customHeight="1">
      <c r="A555" s="200"/>
      <c r="B555" s="200"/>
      <c r="C555" s="198"/>
      <c r="D555" s="198"/>
      <c r="E555" s="197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</row>
    <row r="556" ht="15.75" customHeight="1">
      <c r="A556" s="200"/>
      <c r="B556" s="200"/>
      <c r="C556" s="198"/>
      <c r="D556" s="198"/>
      <c r="E556" s="197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</row>
    <row r="557" ht="15.75" customHeight="1">
      <c r="A557" s="200"/>
      <c r="B557" s="200"/>
      <c r="C557" s="198"/>
      <c r="D557" s="198"/>
      <c r="E557" s="197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</row>
    <row r="558" ht="15.75" customHeight="1">
      <c r="A558" s="200"/>
      <c r="B558" s="200"/>
      <c r="C558" s="198"/>
      <c r="D558" s="198"/>
      <c r="E558" s="197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</row>
    <row r="559" ht="15.75" customHeight="1">
      <c r="A559" s="200"/>
      <c r="B559" s="200"/>
      <c r="C559" s="198"/>
      <c r="D559" s="198"/>
      <c r="E559" s="197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</row>
    <row r="560" ht="15.75" customHeight="1">
      <c r="A560" s="200"/>
      <c r="B560" s="200"/>
      <c r="C560" s="198"/>
      <c r="D560" s="198"/>
      <c r="E560" s="197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</row>
    <row r="561" ht="15.75" customHeight="1">
      <c r="A561" s="200"/>
      <c r="B561" s="200"/>
      <c r="C561" s="198"/>
      <c r="D561" s="198"/>
      <c r="E561" s="197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</row>
    <row r="562" ht="15.75" customHeight="1">
      <c r="A562" s="200"/>
      <c r="B562" s="200"/>
      <c r="C562" s="198"/>
      <c r="D562" s="198"/>
      <c r="E562" s="197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</row>
    <row r="563" ht="15.75" customHeight="1">
      <c r="A563" s="200"/>
      <c r="B563" s="200"/>
      <c r="C563" s="198"/>
      <c r="D563" s="198"/>
      <c r="E563" s="197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</row>
    <row r="564" ht="15.75" customHeight="1">
      <c r="A564" s="200"/>
      <c r="B564" s="200"/>
      <c r="C564" s="198"/>
      <c r="D564" s="198"/>
      <c r="E564" s="197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</row>
    <row r="565" ht="15.75" customHeight="1">
      <c r="A565" s="200"/>
      <c r="B565" s="200"/>
      <c r="C565" s="198"/>
      <c r="D565" s="198"/>
      <c r="E565" s="197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</row>
    <row r="566" ht="15.75" customHeight="1">
      <c r="A566" s="200"/>
      <c r="B566" s="200"/>
      <c r="C566" s="198"/>
      <c r="D566" s="198"/>
      <c r="E566" s="197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</row>
    <row r="567" ht="15.75" customHeight="1">
      <c r="A567" s="200"/>
      <c r="B567" s="200"/>
      <c r="C567" s="198"/>
      <c r="D567" s="198"/>
      <c r="E567" s="197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</row>
    <row r="568" ht="15.75" customHeight="1">
      <c r="A568" s="200"/>
      <c r="B568" s="200"/>
      <c r="C568" s="198"/>
      <c r="D568" s="198"/>
      <c r="E568" s="197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</row>
    <row r="569" ht="15.75" customHeight="1">
      <c r="A569" s="200"/>
      <c r="B569" s="200"/>
      <c r="C569" s="198"/>
      <c r="D569" s="198"/>
      <c r="E569" s="197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</row>
    <row r="570" ht="15.75" customHeight="1">
      <c r="A570" s="200"/>
      <c r="B570" s="200"/>
      <c r="C570" s="198"/>
      <c r="D570" s="198"/>
      <c r="E570" s="197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</row>
    <row r="571" ht="15.75" customHeight="1">
      <c r="A571" s="200"/>
      <c r="B571" s="200"/>
      <c r="C571" s="198"/>
      <c r="D571" s="198"/>
      <c r="E571" s="197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</row>
    <row r="572" ht="15.75" customHeight="1">
      <c r="A572" s="200"/>
      <c r="B572" s="200"/>
      <c r="C572" s="198"/>
      <c r="D572" s="198"/>
      <c r="E572" s="197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</row>
    <row r="573" ht="15.75" customHeight="1">
      <c r="A573" s="200"/>
      <c r="B573" s="200"/>
      <c r="C573" s="198"/>
      <c r="D573" s="198"/>
      <c r="E573" s="197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</row>
    <row r="574" ht="15.75" customHeight="1">
      <c r="A574" s="200"/>
      <c r="B574" s="200"/>
      <c r="C574" s="198"/>
      <c r="D574" s="198"/>
      <c r="E574" s="197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</row>
    <row r="575" ht="15.75" customHeight="1">
      <c r="A575" s="200"/>
      <c r="B575" s="200"/>
      <c r="C575" s="198"/>
      <c r="D575" s="198"/>
      <c r="E575" s="197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</row>
    <row r="576" ht="15.75" customHeight="1">
      <c r="A576" s="200"/>
      <c r="B576" s="200"/>
      <c r="C576" s="198"/>
      <c r="D576" s="198"/>
      <c r="E576" s="197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</row>
    <row r="577" ht="15.75" customHeight="1">
      <c r="A577" s="200"/>
      <c r="B577" s="200"/>
      <c r="C577" s="198"/>
      <c r="D577" s="198"/>
      <c r="E577" s="197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</row>
    <row r="578" ht="15.75" customHeight="1">
      <c r="A578" s="200"/>
      <c r="B578" s="200"/>
      <c r="C578" s="198"/>
      <c r="D578" s="198"/>
      <c r="E578" s="197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</row>
    <row r="579" ht="15.75" customHeight="1">
      <c r="A579" s="200"/>
      <c r="B579" s="200"/>
      <c r="C579" s="198"/>
      <c r="D579" s="198"/>
      <c r="E579" s="197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</row>
    <row r="580" ht="15.75" customHeight="1">
      <c r="A580" s="200"/>
      <c r="B580" s="200"/>
      <c r="C580" s="198"/>
      <c r="D580" s="198"/>
      <c r="E580" s="197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</row>
    <row r="581" ht="15.75" customHeight="1">
      <c r="A581" s="200"/>
      <c r="B581" s="200"/>
      <c r="C581" s="198"/>
      <c r="D581" s="198"/>
      <c r="E581" s="197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</row>
    <row r="582" ht="15.75" customHeight="1">
      <c r="A582" s="200"/>
      <c r="B582" s="200"/>
      <c r="C582" s="198"/>
      <c r="D582" s="198"/>
      <c r="E582" s="197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</row>
    <row r="583" ht="15.75" customHeight="1">
      <c r="A583" s="200"/>
      <c r="B583" s="200"/>
      <c r="C583" s="198"/>
      <c r="D583" s="198"/>
      <c r="E583" s="197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</row>
    <row r="584" ht="15.75" customHeight="1">
      <c r="A584" s="200"/>
      <c r="B584" s="200"/>
      <c r="C584" s="198"/>
      <c r="D584" s="198"/>
      <c r="E584" s="197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</row>
    <row r="585" ht="15.75" customHeight="1">
      <c r="A585" s="200"/>
      <c r="B585" s="200"/>
      <c r="C585" s="198"/>
      <c r="D585" s="198"/>
      <c r="E585" s="197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</row>
    <row r="586" ht="15.75" customHeight="1">
      <c r="A586" s="200"/>
      <c r="B586" s="200"/>
      <c r="C586" s="198"/>
      <c r="D586" s="198"/>
      <c r="E586" s="197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</row>
    <row r="587" ht="15.75" customHeight="1">
      <c r="A587" s="200"/>
      <c r="B587" s="200"/>
      <c r="C587" s="198"/>
      <c r="D587" s="198"/>
      <c r="E587" s="197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</row>
    <row r="588" ht="15.75" customHeight="1">
      <c r="A588" s="200"/>
      <c r="B588" s="200"/>
      <c r="C588" s="198"/>
      <c r="D588" s="198"/>
      <c r="E588" s="197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</row>
    <row r="589" ht="15.75" customHeight="1">
      <c r="A589" s="200"/>
      <c r="B589" s="200"/>
      <c r="C589" s="198"/>
      <c r="D589" s="198"/>
      <c r="E589" s="197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</row>
    <row r="590" ht="15.75" customHeight="1">
      <c r="A590" s="200"/>
      <c r="B590" s="200"/>
      <c r="C590" s="198"/>
      <c r="D590" s="198"/>
      <c r="E590" s="197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</row>
    <row r="591" ht="15.75" customHeight="1">
      <c r="A591" s="200"/>
      <c r="B591" s="200"/>
      <c r="C591" s="198"/>
      <c r="D591" s="198"/>
      <c r="E591" s="197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</row>
    <row r="592" ht="15.75" customHeight="1">
      <c r="A592" s="200"/>
      <c r="B592" s="200"/>
      <c r="C592" s="198"/>
      <c r="D592" s="198"/>
      <c r="E592" s="197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</row>
    <row r="593" ht="15.75" customHeight="1">
      <c r="A593" s="200"/>
      <c r="B593" s="200"/>
      <c r="C593" s="198"/>
      <c r="D593" s="198"/>
      <c r="E593" s="197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</row>
    <row r="594" ht="15.75" customHeight="1">
      <c r="A594" s="200"/>
      <c r="B594" s="200"/>
      <c r="C594" s="198"/>
      <c r="D594" s="198"/>
      <c r="E594" s="197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</row>
    <row r="595" ht="15.75" customHeight="1">
      <c r="A595" s="200"/>
      <c r="B595" s="200"/>
      <c r="C595" s="198"/>
      <c r="D595" s="198"/>
      <c r="E595" s="197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</row>
    <row r="596" ht="15.75" customHeight="1">
      <c r="A596" s="200"/>
      <c r="B596" s="200"/>
      <c r="C596" s="198"/>
      <c r="D596" s="198"/>
      <c r="E596" s="197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</row>
    <row r="597" ht="15.75" customHeight="1">
      <c r="A597" s="200"/>
      <c r="B597" s="200"/>
      <c r="C597" s="198"/>
      <c r="D597" s="198"/>
      <c r="E597" s="197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</row>
    <row r="598" ht="15.75" customHeight="1">
      <c r="A598" s="200"/>
      <c r="B598" s="200"/>
      <c r="C598" s="198"/>
      <c r="D598" s="198"/>
      <c r="E598" s="197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</row>
    <row r="599" ht="15.75" customHeight="1">
      <c r="A599" s="200"/>
      <c r="B599" s="200"/>
      <c r="C599" s="198"/>
      <c r="D599" s="198"/>
      <c r="E599" s="197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</row>
    <row r="600" ht="15.75" customHeight="1">
      <c r="A600" s="200"/>
      <c r="B600" s="200"/>
      <c r="C600" s="198"/>
      <c r="D600" s="198"/>
      <c r="E600" s="197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</row>
    <row r="601" ht="15.75" customHeight="1">
      <c r="A601" s="200"/>
      <c r="B601" s="200"/>
      <c r="C601" s="198"/>
      <c r="D601" s="198"/>
      <c r="E601" s="197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</row>
    <row r="602" ht="15.75" customHeight="1">
      <c r="A602" s="200"/>
      <c r="B602" s="200"/>
      <c r="C602" s="198"/>
      <c r="D602" s="198"/>
      <c r="E602" s="197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</row>
    <row r="603" ht="15.75" customHeight="1">
      <c r="A603" s="200"/>
      <c r="B603" s="200"/>
      <c r="C603" s="198"/>
      <c r="D603" s="198"/>
      <c r="E603" s="197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</row>
    <row r="604" ht="15.75" customHeight="1">
      <c r="A604" s="200"/>
      <c r="B604" s="200"/>
      <c r="C604" s="198"/>
      <c r="D604" s="198"/>
      <c r="E604" s="197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</row>
    <row r="605" ht="15.75" customHeight="1">
      <c r="A605" s="200"/>
      <c r="B605" s="200"/>
      <c r="C605" s="198"/>
      <c r="D605" s="198"/>
      <c r="E605" s="197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</row>
    <row r="606" ht="15.75" customHeight="1">
      <c r="A606" s="200"/>
      <c r="B606" s="200"/>
      <c r="C606" s="198"/>
      <c r="D606" s="198"/>
      <c r="E606" s="197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</row>
    <row r="607" ht="15.75" customHeight="1">
      <c r="A607" s="200"/>
      <c r="B607" s="200"/>
      <c r="C607" s="198"/>
      <c r="D607" s="198"/>
      <c r="E607" s="197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</row>
    <row r="608" ht="15.75" customHeight="1">
      <c r="A608" s="200"/>
      <c r="B608" s="200"/>
      <c r="C608" s="198"/>
      <c r="D608" s="198"/>
      <c r="E608" s="197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</row>
    <row r="609" ht="15.75" customHeight="1">
      <c r="A609" s="200"/>
      <c r="B609" s="200"/>
      <c r="C609" s="198"/>
      <c r="D609" s="198"/>
      <c r="E609" s="197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</row>
    <row r="610" ht="15.75" customHeight="1">
      <c r="A610" s="200"/>
      <c r="B610" s="200"/>
      <c r="C610" s="198"/>
      <c r="D610" s="198"/>
      <c r="E610" s="197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</row>
    <row r="611" ht="15.75" customHeight="1">
      <c r="A611" s="200"/>
      <c r="B611" s="200"/>
      <c r="C611" s="198"/>
      <c r="D611" s="198"/>
      <c r="E611" s="197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</row>
    <row r="612" ht="15.75" customHeight="1">
      <c r="A612" s="200"/>
      <c r="B612" s="200"/>
      <c r="C612" s="198"/>
      <c r="D612" s="198"/>
      <c r="E612" s="197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</row>
    <row r="613" ht="15.75" customHeight="1">
      <c r="A613" s="200"/>
      <c r="B613" s="200"/>
      <c r="C613" s="198"/>
      <c r="D613" s="198"/>
      <c r="E613" s="197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</row>
    <row r="614" ht="15.75" customHeight="1">
      <c r="A614" s="200"/>
      <c r="B614" s="200"/>
      <c r="C614" s="198"/>
      <c r="D614" s="198"/>
      <c r="E614" s="197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</row>
    <row r="615" ht="15.75" customHeight="1">
      <c r="A615" s="200"/>
      <c r="B615" s="200"/>
      <c r="C615" s="198"/>
      <c r="D615" s="198"/>
      <c r="E615" s="197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</row>
    <row r="616" ht="15.75" customHeight="1">
      <c r="A616" s="200"/>
      <c r="B616" s="200"/>
      <c r="C616" s="198"/>
      <c r="D616" s="198"/>
      <c r="E616" s="197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</row>
    <row r="617" ht="15.75" customHeight="1">
      <c r="A617" s="200"/>
      <c r="B617" s="200"/>
      <c r="C617" s="198"/>
      <c r="D617" s="198"/>
      <c r="E617" s="197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</row>
    <row r="618" ht="15.75" customHeight="1">
      <c r="A618" s="200"/>
      <c r="B618" s="200"/>
      <c r="C618" s="198"/>
      <c r="D618" s="198"/>
      <c r="E618" s="197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</row>
    <row r="619" ht="15.75" customHeight="1">
      <c r="A619" s="200"/>
      <c r="B619" s="200"/>
      <c r="C619" s="198"/>
      <c r="D619" s="198"/>
      <c r="E619" s="197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</row>
    <row r="620" ht="15.75" customHeight="1">
      <c r="A620" s="200"/>
      <c r="B620" s="200"/>
      <c r="C620" s="198"/>
      <c r="D620" s="198"/>
      <c r="E620" s="197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</row>
    <row r="621" ht="15.75" customHeight="1">
      <c r="A621" s="200"/>
      <c r="B621" s="200"/>
      <c r="C621" s="198"/>
      <c r="D621" s="198"/>
      <c r="E621" s="197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</row>
    <row r="622" ht="15.75" customHeight="1">
      <c r="A622" s="200"/>
      <c r="B622" s="200"/>
      <c r="C622" s="198"/>
      <c r="D622" s="198"/>
      <c r="E622" s="197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</row>
    <row r="623" ht="15.75" customHeight="1">
      <c r="A623" s="200"/>
      <c r="B623" s="200"/>
      <c r="C623" s="198"/>
      <c r="D623" s="198"/>
      <c r="E623" s="197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</row>
    <row r="624" ht="15.75" customHeight="1">
      <c r="A624" s="200"/>
      <c r="B624" s="200"/>
      <c r="C624" s="198"/>
      <c r="D624" s="198"/>
      <c r="E624" s="197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</row>
    <row r="625" ht="15.75" customHeight="1">
      <c r="A625" s="200"/>
      <c r="B625" s="200"/>
      <c r="C625" s="198"/>
      <c r="D625" s="198"/>
      <c r="E625" s="197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</row>
    <row r="626" ht="15.75" customHeight="1">
      <c r="A626" s="200"/>
      <c r="B626" s="200"/>
      <c r="C626" s="198"/>
      <c r="D626" s="198"/>
      <c r="E626" s="197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</row>
    <row r="627" ht="15.75" customHeight="1">
      <c r="A627" s="200"/>
      <c r="B627" s="200"/>
      <c r="C627" s="198"/>
      <c r="D627" s="198"/>
      <c r="E627" s="197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</row>
    <row r="628" ht="15.75" customHeight="1">
      <c r="A628" s="200"/>
      <c r="B628" s="200"/>
      <c r="C628" s="198"/>
      <c r="D628" s="198"/>
      <c r="E628" s="197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</row>
    <row r="629" ht="15.75" customHeight="1">
      <c r="A629" s="200"/>
      <c r="B629" s="200"/>
      <c r="C629" s="198"/>
      <c r="D629" s="198"/>
      <c r="E629" s="197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</row>
    <row r="630" ht="15.75" customHeight="1">
      <c r="A630" s="200"/>
      <c r="B630" s="200"/>
      <c r="C630" s="198"/>
      <c r="D630" s="198"/>
      <c r="E630" s="197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</row>
    <row r="631" ht="15.75" customHeight="1">
      <c r="A631" s="200"/>
      <c r="B631" s="200"/>
      <c r="C631" s="198"/>
      <c r="D631" s="198"/>
      <c r="E631" s="197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</row>
    <row r="632" ht="15.75" customHeight="1">
      <c r="A632" s="200"/>
      <c r="B632" s="200"/>
      <c r="C632" s="198"/>
      <c r="D632" s="198"/>
      <c r="E632" s="197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</row>
    <row r="633" ht="15.75" customHeight="1">
      <c r="A633" s="200"/>
      <c r="B633" s="200"/>
      <c r="C633" s="198"/>
      <c r="D633" s="198"/>
      <c r="E633" s="197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</row>
    <row r="634" ht="15.75" customHeight="1">
      <c r="A634" s="200"/>
      <c r="B634" s="200"/>
      <c r="C634" s="198"/>
      <c r="D634" s="198"/>
      <c r="E634" s="197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</row>
    <row r="635" ht="15.75" customHeight="1">
      <c r="A635" s="200"/>
      <c r="B635" s="200"/>
      <c r="C635" s="198"/>
      <c r="D635" s="198"/>
      <c r="E635" s="197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</row>
    <row r="636" ht="15.75" customHeight="1">
      <c r="A636" s="200"/>
      <c r="B636" s="200"/>
      <c r="C636" s="198"/>
      <c r="D636" s="198"/>
      <c r="E636" s="197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</row>
    <row r="637" ht="15.75" customHeight="1">
      <c r="A637" s="200"/>
      <c r="B637" s="200"/>
      <c r="C637" s="198"/>
      <c r="D637" s="198"/>
      <c r="E637" s="197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</row>
    <row r="638" ht="15.75" customHeight="1">
      <c r="A638" s="200"/>
      <c r="B638" s="200"/>
      <c r="C638" s="198"/>
      <c r="D638" s="198"/>
      <c r="E638" s="197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</row>
    <row r="639" ht="15.75" customHeight="1">
      <c r="A639" s="200"/>
      <c r="B639" s="200"/>
      <c r="C639" s="198"/>
      <c r="D639" s="198"/>
      <c r="E639" s="197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</row>
    <row r="640" ht="15.75" customHeight="1">
      <c r="A640" s="200"/>
      <c r="B640" s="200"/>
      <c r="C640" s="198"/>
      <c r="D640" s="198"/>
      <c r="E640" s="197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</row>
    <row r="641" ht="15.75" customHeight="1">
      <c r="A641" s="200"/>
      <c r="B641" s="200"/>
      <c r="C641" s="198"/>
      <c r="D641" s="198"/>
      <c r="E641" s="197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</row>
    <row r="642" ht="15.75" customHeight="1">
      <c r="A642" s="200"/>
      <c r="B642" s="200"/>
      <c r="C642" s="198"/>
      <c r="D642" s="198"/>
      <c r="E642" s="197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</row>
    <row r="643" ht="15.75" customHeight="1">
      <c r="A643" s="200"/>
      <c r="B643" s="200"/>
      <c r="C643" s="198"/>
      <c r="D643" s="198"/>
      <c r="E643" s="197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</row>
    <row r="644" ht="15.75" customHeight="1">
      <c r="A644" s="200"/>
      <c r="B644" s="200"/>
      <c r="C644" s="198"/>
      <c r="D644" s="198"/>
      <c r="E644" s="197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</row>
    <row r="645" ht="15.75" customHeight="1">
      <c r="A645" s="200"/>
      <c r="B645" s="200"/>
      <c r="C645" s="198"/>
      <c r="D645" s="198"/>
      <c r="E645" s="197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</row>
    <row r="646" ht="15.75" customHeight="1">
      <c r="A646" s="200"/>
      <c r="B646" s="200"/>
      <c r="C646" s="198"/>
      <c r="D646" s="198"/>
      <c r="E646" s="197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</row>
    <row r="647" ht="15.75" customHeight="1">
      <c r="A647" s="200"/>
      <c r="B647" s="200"/>
      <c r="C647" s="198"/>
      <c r="D647" s="198"/>
      <c r="E647" s="197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</row>
    <row r="648" ht="15.75" customHeight="1">
      <c r="A648" s="200"/>
      <c r="B648" s="200"/>
      <c r="C648" s="198"/>
      <c r="D648" s="198"/>
      <c r="E648" s="197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</row>
    <row r="649" ht="15.75" customHeight="1">
      <c r="A649" s="200"/>
      <c r="B649" s="200"/>
      <c r="C649" s="198"/>
      <c r="D649" s="198"/>
      <c r="E649" s="197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</row>
    <row r="650" ht="15.75" customHeight="1">
      <c r="A650" s="200"/>
      <c r="B650" s="200"/>
      <c r="C650" s="198"/>
      <c r="D650" s="198"/>
      <c r="E650" s="197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</row>
    <row r="651" ht="15.75" customHeight="1">
      <c r="A651" s="200"/>
      <c r="B651" s="200"/>
      <c r="C651" s="198"/>
      <c r="D651" s="198"/>
      <c r="E651" s="197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</row>
    <row r="652" ht="15.75" customHeight="1">
      <c r="A652" s="200"/>
      <c r="B652" s="200"/>
      <c r="C652" s="198"/>
      <c r="D652" s="198"/>
      <c r="E652" s="197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</row>
    <row r="653" ht="15.75" customHeight="1">
      <c r="A653" s="200"/>
      <c r="B653" s="200"/>
      <c r="C653" s="198"/>
      <c r="D653" s="198"/>
      <c r="E653" s="197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</row>
    <row r="654" ht="15.75" customHeight="1">
      <c r="A654" s="200"/>
      <c r="B654" s="200"/>
      <c r="C654" s="198"/>
      <c r="D654" s="198"/>
      <c r="E654" s="197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</row>
    <row r="655" ht="15.75" customHeight="1">
      <c r="A655" s="200"/>
      <c r="B655" s="200"/>
      <c r="C655" s="198"/>
      <c r="D655" s="198"/>
      <c r="E655" s="197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</row>
    <row r="656" ht="15.75" customHeight="1">
      <c r="A656" s="200"/>
      <c r="B656" s="200"/>
      <c r="C656" s="198"/>
      <c r="D656" s="198"/>
      <c r="E656" s="197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</row>
    <row r="657" ht="15.75" customHeight="1">
      <c r="A657" s="200"/>
      <c r="B657" s="200"/>
      <c r="C657" s="198"/>
      <c r="D657" s="198"/>
      <c r="E657" s="197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</row>
    <row r="658" ht="15.75" customHeight="1">
      <c r="A658" s="200"/>
      <c r="B658" s="200"/>
      <c r="C658" s="198"/>
      <c r="D658" s="198"/>
      <c r="E658" s="197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</row>
    <row r="659" ht="15.75" customHeight="1">
      <c r="A659" s="200"/>
      <c r="B659" s="200"/>
      <c r="C659" s="198"/>
      <c r="D659" s="198"/>
      <c r="E659" s="197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</row>
    <row r="660" ht="15.75" customHeight="1">
      <c r="A660" s="200"/>
      <c r="B660" s="200"/>
      <c r="C660" s="198"/>
      <c r="D660" s="198"/>
      <c r="E660" s="197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</row>
    <row r="661" ht="15.75" customHeight="1">
      <c r="A661" s="200"/>
      <c r="B661" s="200"/>
      <c r="C661" s="198"/>
      <c r="D661" s="198"/>
      <c r="E661" s="197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</row>
    <row r="662" ht="15.75" customHeight="1">
      <c r="A662" s="200"/>
      <c r="B662" s="200"/>
      <c r="C662" s="198"/>
      <c r="D662" s="198"/>
      <c r="E662" s="197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</row>
    <row r="663" ht="15.75" customHeight="1">
      <c r="A663" s="200"/>
      <c r="B663" s="200"/>
      <c r="C663" s="198"/>
      <c r="D663" s="198"/>
      <c r="E663" s="197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</row>
    <row r="664" ht="15.75" customHeight="1">
      <c r="A664" s="200"/>
      <c r="B664" s="200"/>
      <c r="C664" s="198"/>
      <c r="D664" s="198"/>
      <c r="E664" s="197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</row>
    <row r="665" ht="15.75" customHeight="1">
      <c r="A665" s="200"/>
      <c r="B665" s="200"/>
      <c r="C665" s="198"/>
      <c r="D665" s="198"/>
      <c r="E665" s="197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</row>
    <row r="666" ht="15.75" customHeight="1">
      <c r="A666" s="200"/>
      <c r="B666" s="200"/>
      <c r="C666" s="198"/>
      <c r="D666" s="198"/>
      <c r="E666" s="197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</row>
    <row r="667" ht="15.75" customHeight="1">
      <c r="A667" s="200"/>
      <c r="B667" s="200"/>
      <c r="C667" s="198"/>
      <c r="D667" s="198"/>
      <c r="E667" s="197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</row>
    <row r="668" ht="15.75" customHeight="1">
      <c r="A668" s="200"/>
      <c r="B668" s="200"/>
      <c r="C668" s="198"/>
      <c r="D668" s="198"/>
      <c r="E668" s="197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</row>
    <row r="669" ht="15.75" customHeight="1">
      <c r="A669" s="200"/>
      <c r="B669" s="200"/>
      <c r="C669" s="198"/>
      <c r="D669" s="198"/>
      <c r="E669" s="197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</row>
    <row r="670" ht="15.75" customHeight="1">
      <c r="A670" s="200"/>
      <c r="B670" s="200"/>
      <c r="C670" s="198"/>
      <c r="D670" s="198"/>
      <c r="E670" s="197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</row>
    <row r="671" ht="15.75" customHeight="1">
      <c r="A671" s="200"/>
      <c r="B671" s="200"/>
      <c r="C671" s="198"/>
      <c r="D671" s="198"/>
      <c r="E671" s="197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</row>
    <row r="672" ht="15.75" customHeight="1">
      <c r="A672" s="200"/>
      <c r="B672" s="200"/>
      <c r="C672" s="198"/>
      <c r="D672" s="198"/>
      <c r="E672" s="197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</row>
    <row r="673" ht="15.75" customHeight="1">
      <c r="A673" s="200"/>
      <c r="B673" s="200"/>
      <c r="C673" s="198"/>
      <c r="D673" s="198"/>
      <c r="E673" s="197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</row>
    <row r="674" ht="15.75" customHeight="1">
      <c r="A674" s="200"/>
      <c r="B674" s="200"/>
      <c r="C674" s="198"/>
      <c r="D674" s="198"/>
      <c r="E674" s="197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</row>
    <row r="675" ht="15.75" customHeight="1">
      <c r="A675" s="200"/>
      <c r="B675" s="200"/>
      <c r="C675" s="198"/>
      <c r="D675" s="198"/>
      <c r="E675" s="197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</row>
    <row r="676" ht="15.75" customHeight="1">
      <c r="A676" s="200"/>
      <c r="B676" s="200"/>
      <c r="C676" s="198"/>
      <c r="D676" s="198"/>
      <c r="E676" s="197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</row>
    <row r="677" ht="15.75" customHeight="1">
      <c r="A677" s="200"/>
      <c r="B677" s="200"/>
      <c r="C677" s="198"/>
      <c r="D677" s="198"/>
      <c r="E677" s="197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</row>
    <row r="678" ht="15.75" customHeight="1">
      <c r="A678" s="200"/>
      <c r="B678" s="200"/>
      <c r="C678" s="198"/>
      <c r="D678" s="198"/>
      <c r="E678" s="197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</row>
    <row r="679" ht="15.75" customHeight="1">
      <c r="A679" s="200"/>
      <c r="B679" s="200"/>
      <c r="C679" s="198"/>
      <c r="D679" s="198"/>
      <c r="E679" s="197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</row>
    <row r="680" ht="15.75" customHeight="1">
      <c r="A680" s="200"/>
      <c r="B680" s="200"/>
      <c r="C680" s="198"/>
      <c r="D680" s="198"/>
      <c r="E680" s="197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</row>
    <row r="681" ht="15.75" customHeight="1">
      <c r="A681" s="200"/>
      <c r="B681" s="200"/>
      <c r="C681" s="198"/>
      <c r="D681" s="198"/>
      <c r="E681" s="197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</row>
    <row r="682" ht="15.75" customHeight="1">
      <c r="A682" s="200"/>
      <c r="B682" s="200"/>
      <c r="C682" s="198"/>
      <c r="D682" s="198"/>
      <c r="E682" s="197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</row>
    <row r="683" ht="15.75" customHeight="1">
      <c r="A683" s="200"/>
      <c r="B683" s="200"/>
      <c r="C683" s="198"/>
      <c r="D683" s="198"/>
      <c r="E683" s="197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</row>
    <row r="684" ht="15.75" customHeight="1">
      <c r="A684" s="200"/>
      <c r="B684" s="200"/>
      <c r="C684" s="198"/>
      <c r="D684" s="198"/>
      <c r="E684" s="197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</row>
    <row r="685" ht="15.75" customHeight="1">
      <c r="A685" s="200"/>
      <c r="B685" s="200"/>
      <c r="C685" s="198"/>
      <c r="D685" s="198"/>
      <c r="E685" s="197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</row>
    <row r="686" ht="15.75" customHeight="1">
      <c r="A686" s="200"/>
      <c r="B686" s="200"/>
      <c r="C686" s="198"/>
      <c r="D686" s="198"/>
      <c r="E686" s="197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</row>
    <row r="687" ht="15.75" customHeight="1">
      <c r="A687" s="200"/>
      <c r="B687" s="200"/>
      <c r="C687" s="198"/>
      <c r="D687" s="198"/>
      <c r="E687" s="197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</row>
    <row r="688" ht="15.75" customHeight="1">
      <c r="A688" s="200"/>
      <c r="B688" s="200"/>
      <c r="C688" s="198"/>
      <c r="D688" s="198"/>
      <c r="E688" s="197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</row>
    <row r="689" ht="15.75" customHeight="1">
      <c r="A689" s="200"/>
      <c r="B689" s="200"/>
      <c r="C689" s="198"/>
      <c r="D689" s="198"/>
      <c r="E689" s="197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</row>
    <row r="690" ht="15.75" customHeight="1">
      <c r="A690" s="200"/>
      <c r="B690" s="200"/>
      <c r="C690" s="198"/>
      <c r="D690" s="198"/>
      <c r="E690" s="197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</row>
    <row r="691" ht="15.75" customHeight="1">
      <c r="A691" s="200"/>
      <c r="B691" s="200"/>
      <c r="C691" s="198"/>
      <c r="D691" s="198"/>
      <c r="E691" s="197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</row>
    <row r="692" ht="15.75" customHeight="1">
      <c r="A692" s="200"/>
      <c r="B692" s="200"/>
      <c r="C692" s="198"/>
      <c r="D692" s="198"/>
      <c r="E692" s="197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</row>
    <row r="693" ht="15.75" customHeight="1">
      <c r="A693" s="200"/>
      <c r="B693" s="200"/>
      <c r="C693" s="198"/>
      <c r="D693" s="198"/>
      <c r="E693" s="197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</row>
    <row r="694" ht="15.75" customHeight="1">
      <c r="A694" s="200"/>
      <c r="B694" s="200"/>
      <c r="C694" s="198"/>
      <c r="D694" s="198"/>
      <c r="E694" s="197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</row>
    <row r="695" ht="15.75" customHeight="1">
      <c r="A695" s="200"/>
      <c r="B695" s="200"/>
      <c r="C695" s="198"/>
      <c r="D695" s="198"/>
      <c r="E695" s="197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</row>
    <row r="696" ht="15.75" customHeight="1">
      <c r="A696" s="200"/>
      <c r="B696" s="200"/>
      <c r="C696" s="198"/>
      <c r="D696" s="198"/>
      <c r="E696" s="197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</row>
    <row r="697" ht="15.75" customHeight="1">
      <c r="A697" s="200"/>
      <c r="B697" s="200"/>
      <c r="C697" s="198"/>
      <c r="D697" s="198"/>
      <c r="E697" s="197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</row>
    <row r="698" ht="15.75" customHeight="1">
      <c r="A698" s="200"/>
      <c r="B698" s="200"/>
      <c r="C698" s="198"/>
      <c r="D698" s="198"/>
      <c r="E698" s="197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</row>
    <row r="699" ht="15.75" customHeight="1">
      <c r="A699" s="200"/>
      <c r="B699" s="200"/>
      <c r="C699" s="198"/>
      <c r="D699" s="198"/>
      <c r="E699" s="197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</row>
    <row r="700" ht="15.75" customHeight="1">
      <c r="A700" s="200"/>
      <c r="B700" s="200"/>
      <c r="C700" s="198"/>
      <c r="D700" s="198"/>
      <c r="E700" s="197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</row>
    <row r="701" ht="15.75" customHeight="1">
      <c r="A701" s="200"/>
      <c r="B701" s="200"/>
      <c r="C701" s="198"/>
      <c r="D701" s="198"/>
      <c r="E701" s="197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</row>
    <row r="702" ht="15.75" customHeight="1">
      <c r="A702" s="200"/>
      <c r="B702" s="200"/>
      <c r="C702" s="198"/>
      <c r="D702" s="198"/>
      <c r="E702" s="197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</row>
    <row r="703" ht="15.75" customHeight="1">
      <c r="A703" s="200"/>
      <c r="B703" s="200"/>
      <c r="C703" s="198"/>
      <c r="D703" s="198"/>
      <c r="E703" s="197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</row>
    <row r="704" ht="15.75" customHeight="1">
      <c r="A704" s="200"/>
      <c r="B704" s="200"/>
      <c r="C704" s="198"/>
      <c r="D704" s="198"/>
      <c r="E704" s="197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</row>
    <row r="705" ht="15.75" customHeight="1">
      <c r="A705" s="200"/>
      <c r="B705" s="200"/>
      <c r="C705" s="198"/>
      <c r="D705" s="198"/>
      <c r="E705" s="197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</row>
    <row r="706" ht="15.75" customHeight="1">
      <c r="A706" s="200"/>
      <c r="B706" s="200"/>
      <c r="C706" s="198"/>
      <c r="D706" s="198"/>
      <c r="E706" s="197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</row>
    <row r="707" ht="15.75" customHeight="1">
      <c r="A707" s="200"/>
      <c r="B707" s="200"/>
      <c r="C707" s="198"/>
      <c r="D707" s="198"/>
      <c r="E707" s="197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</row>
    <row r="708" ht="15.75" customHeight="1">
      <c r="A708" s="200"/>
      <c r="B708" s="200"/>
      <c r="C708" s="198"/>
      <c r="D708" s="198"/>
      <c r="E708" s="197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</row>
    <row r="709" ht="15.75" customHeight="1">
      <c r="A709" s="200"/>
      <c r="B709" s="200"/>
      <c r="C709" s="198"/>
      <c r="D709" s="198"/>
      <c r="E709" s="197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</row>
    <row r="710" ht="15.75" customHeight="1">
      <c r="A710" s="200"/>
      <c r="B710" s="200"/>
      <c r="C710" s="198"/>
      <c r="D710" s="198"/>
      <c r="E710" s="197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</row>
    <row r="711" ht="15.75" customHeight="1">
      <c r="A711" s="200"/>
      <c r="B711" s="200"/>
      <c r="C711" s="198"/>
      <c r="D711" s="198"/>
      <c r="E711" s="197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</row>
    <row r="712" ht="15.75" customHeight="1">
      <c r="A712" s="200"/>
      <c r="B712" s="200"/>
      <c r="C712" s="198"/>
      <c r="D712" s="198"/>
      <c r="E712" s="197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</row>
    <row r="713" ht="15.75" customHeight="1">
      <c r="A713" s="200"/>
      <c r="B713" s="200"/>
      <c r="C713" s="198"/>
      <c r="D713" s="198"/>
      <c r="E713" s="197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</row>
    <row r="714" ht="15.75" customHeight="1">
      <c r="A714" s="200"/>
      <c r="B714" s="200"/>
      <c r="C714" s="198"/>
      <c r="D714" s="198"/>
      <c r="E714" s="197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</row>
    <row r="715" ht="15.75" customHeight="1">
      <c r="A715" s="200"/>
      <c r="B715" s="200"/>
      <c r="C715" s="198"/>
      <c r="D715" s="198"/>
      <c r="E715" s="197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</row>
    <row r="716" ht="15.75" customHeight="1">
      <c r="A716" s="200"/>
      <c r="B716" s="200"/>
      <c r="C716" s="198"/>
      <c r="D716" s="198"/>
      <c r="E716" s="197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</row>
    <row r="717" ht="15.75" customHeight="1">
      <c r="A717" s="200"/>
      <c r="B717" s="200"/>
      <c r="C717" s="198"/>
      <c r="D717" s="198"/>
      <c r="E717" s="197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</row>
    <row r="718" ht="15.75" customHeight="1">
      <c r="A718" s="200"/>
      <c r="B718" s="200"/>
      <c r="C718" s="198"/>
      <c r="D718" s="198"/>
      <c r="E718" s="197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</row>
    <row r="719" ht="15.75" customHeight="1">
      <c r="A719" s="200"/>
      <c r="B719" s="200"/>
      <c r="C719" s="198"/>
      <c r="D719" s="198"/>
      <c r="E719" s="197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</row>
    <row r="720" ht="15.75" customHeight="1">
      <c r="A720" s="200"/>
      <c r="B720" s="200"/>
      <c r="C720" s="198"/>
      <c r="D720" s="198"/>
      <c r="E720" s="197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</row>
    <row r="721" ht="15.75" customHeight="1">
      <c r="A721" s="200"/>
      <c r="B721" s="200"/>
      <c r="C721" s="198"/>
      <c r="D721" s="198"/>
      <c r="E721" s="197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</row>
    <row r="722" ht="15.75" customHeight="1">
      <c r="A722" s="200"/>
      <c r="B722" s="200"/>
      <c r="C722" s="198"/>
      <c r="D722" s="198"/>
      <c r="E722" s="197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</row>
    <row r="723" ht="15.75" customHeight="1">
      <c r="A723" s="200"/>
      <c r="B723" s="200"/>
      <c r="C723" s="198"/>
      <c r="D723" s="198"/>
      <c r="E723" s="197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</row>
    <row r="724" ht="15.75" customHeight="1">
      <c r="A724" s="200"/>
      <c r="B724" s="200"/>
      <c r="C724" s="198"/>
      <c r="D724" s="198"/>
      <c r="E724" s="197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</row>
    <row r="725" ht="15.75" customHeight="1">
      <c r="A725" s="200"/>
      <c r="B725" s="200"/>
      <c r="C725" s="198"/>
      <c r="D725" s="198"/>
      <c r="E725" s="197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</row>
    <row r="726" ht="15.75" customHeight="1">
      <c r="A726" s="200"/>
      <c r="B726" s="200"/>
      <c r="C726" s="198"/>
      <c r="D726" s="198"/>
      <c r="E726" s="197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</row>
    <row r="727" ht="15.75" customHeight="1">
      <c r="A727" s="200"/>
      <c r="B727" s="200"/>
      <c r="C727" s="198"/>
      <c r="D727" s="198"/>
      <c r="E727" s="197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</row>
    <row r="728" ht="15.75" customHeight="1">
      <c r="A728" s="200"/>
      <c r="B728" s="200"/>
      <c r="C728" s="198"/>
      <c r="D728" s="198"/>
      <c r="E728" s="197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</row>
    <row r="729" ht="15.75" customHeight="1">
      <c r="A729" s="200"/>
      <c r="B729" s="200"/>
      <c r="C729" s="198"/>
      <c r="D729" s="198"/>
      <c r="E729" s="197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</row>
    <row r="730" ht="15.75" customHeight="1">
      <c r="A730" s="200"/>
      <c r="B730" s="200"/>
      <c r="C730" s="198"/>
      <c r="D730" s="198"/>
      <c r="E730" s="197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</row>
    <row r="731" ht="15.75" customHeight="1">
      <c r="A731" s="200"/>
      <c r="B731" s="200"/>
      <c r="C731" s="198"/>
      <c r="D731" s="198"/>
      <c r="E731" s="197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</row>
    <row r="732" ht="15.75" customHeight="1">
      <c r="A732" s="200"/>
      <c r="B732" s="200"/>
      <c r="C732" s="198"/>
      <c r="D732" s="198"/>
      <c r="E732" s="197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</row>
    <row r="733" ht="15.75" customHeight="1">
      <c r="A733" s="200"/>
      <c r="B733" s="200"/>
      <c r="C733" s="198"/>
      <c r="D733" s="198"/>
      <c r="E733" s="197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</row>
    <row r="734" ht="15.75" customHeight="1">
      <c r="A734" s="200"/>
      <c r="B734" s="200"/>
      <c r="C734" s="198"/>
      <c r="D734" s="198"/>
      <c r="E734" s="197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</row>
    <row r="735" ht="15.75" customHeight="1">
      <c r="A735" s="200"/>
      <c r="B735" s="200"/>
      <c r="C735" s="198"/>
      <c r="D735" s="198"/>
      <c r="E735" s="197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</row>
    <row r="736" ht="15.75" customHeight="1">
      <c r="A736" s="200"/>
      <c r="B736" s="200"/>
      <c r="C736" s="198"/>
      <c r="D736" s="198"/>
      <c r="E736" s="197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</row>
    <row r="737" ht="15.75" customHeight="1">
      <c r="A737" s="200"/>
      <c r="B737" s="200"/>
      <c r="C737" s="198"/>
      <c r="D737" s="198"/>
      <c r="E737" s="197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</row>
    <row r="738" ht="15.75" customHeight="1">
      <c r="A738" s="200"/>
      <c r="B738" s="200"/>
      <c r="C738" s="198"/>
      <c r="D738" s="198"/>
      <c r="E738" s="197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</row>
    <row r="739" ht="15.75" customHeight="1">
      <c r="A739" s="200"/>
      <c r="B739" s="200"/>
      <c r="C739" s="198"/>
      <c r="D739" s="198"/>
      <c r="E739" s="197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</row>
    <row r="740" ht="15.75" customHeight="1">
      <c r="A740" s="200"/>
      <c r="B740" s="200"/>
      <c r="C740" s="198"/>
      <c r="D740" s="198"/>
      <c r="E740" s="197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</row>
    <row r="741" ht="15.75" customHeight="1">
      <c r="A741" s="200"/>
      <c r="B741" s="200"/>
      <c r="C741" s="198"/>
      <c r="D741" s="198"/>
      <c r="E741" s="197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</row>
    <row r="742" ht="15.75" customHeight="1">
      <c r="A742" s="200"/>
      <c r="B742" s="200"/>
      <c r="C742" s="198"/>
      <c r="D742" s="198"/>
      <c r="E742" s="197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</row>
    <row r="743" ht="15.75" customHeight="1">
      <c r="A743" s="200"/>
      <c r="B743" s="200"/>
      <c r="C743" s="198"/>
      <c r="D743" s="198"/>
      <c r="E743" s="197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</row>
    <row r="744" ht="15.75" customHeight="1">
      <c r="A744" s="200"/>
      <c r="B744" s="200"/>
      <c r="C744" s="198"/>
      <c r="D744" s="198"/>
      <c r="E744" s="197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</row>
    <row r="745" ht="15.75" customHeight="1">
      <c r="A745" s="200"/>
      <c r="B745" s="200"/>
      <c r="C745" s="198"/>
      <c r="D745" s="198"/>
      <c r="E745" s="197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</row>
    <row r="746" ht="15.75" customHeight="1">
      <c r="A746" s="200"/>
      <c r="B746" s="200"/>
      <c r="C746" s="198"/>
      <c r="D746" s="198"/>
      <c r="E746" s="197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</row>
    <row r="747" ht="15.75" customHeight="1">
      <c r="A747" s="200"/>
      <c r="B747" s="200"/>
      <c r="C747" s="198"/>
      <c r="D747" s="198"/>
      <c r="E747" s="197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</row>
    <row r="748" ht="15.75" customHeight="1">
      <c r="A748" s="200"/>
      <c r="B748" s="200"/>
      <c r="C748" s="198"/>
      <c r="D748" s="198"/>
      <c r="E748" s="197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</row>
    <row r="749" ht="15.75" customHeight="1">
      <c r="A749" s="200"/>
      <c r="B749" s="200"/>
      <c r="C749" s="198"/>
      <c r="D749" s="198"/>
      <c r="E749" s="197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</row>
    <row r="750" ht="15.75" customHeight="1">
      <c r="A750" s="200"/>
      <c r="B750" s="200"/>
      <c r="C750" s="198"/>
      <c r="D750" s="198"/>
      <c r="E750" s="197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</row>
    <row r="751" ht="15.75" customHeight="1">
      <c r="A751" s="200"/>
      <c r="B751" s="200"/>
      <c r="C751" s="198"/>
      <c r="D751" s="198"/>
      <c r="E751" s="197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</row>
    <row r="752" ht="15.75" customHeight="1">
      <c r="A752" s="200"/>
      <c r="B752" s="200"/>
      <c r="C752" s="198"/>
      <c r="D752" s="198"/>
      <c r="E752" s="197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</row>
    <row r="753" ht="15.75" customHeight="1">
      <c r="A753" s="200"/>
      <c r="B753" s="200"/>
      <c r="C753" s="198"/>
      <c r="D753" s="198"/>
      <c r="E753" s="197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</row>
    <row r="754" ht="15.75" customHeight="1">
      <c r="A754" s="200"/>
      <c r="B754" s="200"/>
      <c r="C754" s="198"/>
      <c r="D754" s="198"/>
      <c r="E754" s="197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</row>
    <row r="755" ht="15.75" customHeight="1">
      <c r="A755" s="200"/>
      <c r="B755" s="200"/>
      <c r="C755" s="198"/>
      <c r="D755" s="198"/>
      <c r="E755" s="197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</row>
    <row r="756" ht="15.75" customHeight="1">
      <c r="A756" s="200"/>
      <c r="B756" s="200"/>
      <c r="C756" s="198"/>
      <c r="D756" s="198"/>
      <c r="E756" s="197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</row>
    <row r="757" ht="15.75" customHeight="1">
      <c r="A757" s="200"/>
      <c r="B757" s="200"/>
      <c r="C757" s="198"/>
      <c r="D757" s="198"/>
      <c r="E757" s="197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</row>
    <row r="758" ht="15.75" customHeight="1">
      <c r="A758" s="200"/>
      <c r="B758" s="200"/>
      <c r="C758" s="198"/>
      <c r="D758" s="198"/>
      <c r="E758" s="197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</row>
    <row r="759" ht="15.75" customHeight="1">
      <c r="A759" s="200"/>
      <c r="B759" s="200"/>
      <c r="C759" s="198"/>
      <c r="D759" s="198"/>
      <c r="E759" s="197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</row>
    <row r="760" ht="15.75" customHeight="1">
      <c r="A760" s="200"/>
      <c r="B760" s="200"/>
      <c r="C760" s="198"/>
      <c r="D760" s="198"/>
      <c r="E760" s="197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</row>
    <row r="761" ht="15.75" customHeight="1">
      <c r="A761" s="200"/>
      <c r="B761" s="200"/>
      <c r="C761" s="198"/>
      <c r="D761" s="198"/>
      <c r="E761" s="197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</row>
    <row r="762" ht="15.75" customHeight="1">
      <c r="A762" s="200"/>
      <c r="B762" s="200"/>
      <c r="C762" s="198"/>
      <c r="D762" s="198"/>
      <c r="E762" s="197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</row>
    <row r="763" ht="15.75" customHeight="1">
      <c r="A763" s="200"/>
      <c r="B763" s="200"/>
      <c r="C763" s="198"/>
      <c r="D763" s="198"/>
      <c r="E763" s="197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</row>
    <row r="764" ht="15.75" customHeight="1">
      <c r="A764" s="200"/>
      <c r="B764" s="200"/>
      <c r="C764" s="198"/>
      <c r="D764" s="198"/>
      <c r="E764" s="197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</row>
    <row r="765" ht="15.75" customHeight="1">
      <c r="A765" s="200"/>
      <c r="B765" s="200"/>
      <c r="C765" s="198"/>
      <c r="D765" s="198"/>
      <c r="E765" s="197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</row>
    <row r="766" ht="15.75" customHeight="1">
      <c r="A766" s="200"/>
      <c r="B766" s="200"/>
      <c r="C766" s="198"/>
      <c r="D766" s="198"/>
      <c r="E766" s="197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</row>
    <row r="767" ht="15.75" customHeight="1">
      <c r="A767" s="200"/>
      <c r="B767" s="200"/>
      <c r="C767" s="198"/>
      <c r="D767" s="198"/>
      <c r="E767" s="197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</row>
    <row r="768" ht="15.75" customHeight="1">
      <c r="A768" s="200"/>
      <c r="B768" s="200"/>
      <c r="C768" s="198"/>
      <c r="D768" s="198"/>
      <c r="E768" s="197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</row>
    <row r="769" ht="15.75" customHeight="1">
      <c r="A769" s="200"/>
      <c r="B769" s="200"/>
      <c r="C769" s="198"/>
      <c r="D769" s="198"/>
      <c r="E769" s="197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</row>
    <row r="770" ht="15.75" customHeight="1">
      <c r="A770" s="200"/>
      <c r="B770" s="200"/>
      <c r="C770" s="198"/>
      <c r="D770" s="198"/>
      <c r="E770" s="197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</row>
    <row r="771" ht="15.75" customHeight="1">
      <c r="A771" s="200"/>
      <c r="B771" s="200"/>
      <c r="C771" s="198"/>
      <c r="D771" s="198"/>
      <c r="E771" s="197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</row>
    <row r="772" ht="15.75" customHeight="1">
      <c r="A772" s="200"/>
      <c r="B772" s="200"/>
      <c r="C772" s="198"/>
      <c r="D772" s="198"/>
      <c r="E772" s="197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</row>
    <row r="773" ht="15.75" customHeight="1">
      <c r="A773" s="200"/>
      <c r="B773" s="200"/>
      <c r="C773" s="198"/>
      <c r="D773" s="198"/>
      <c r="E773" s="197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</row>
    <row r="774" ht="15.75" customHeight="1">
      <c r="A774" s="200"/>
      <c r="B774" s="200"/>
      <c r="C774" s="198"/>
      <c r="D774" s="198"/>
      <c r="E774" s="197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</row>
    <row r="775" ht="15.75" customHeight="1">
      <c r="A775" s="200"/>
      <c r="B775" s="200"/>
      <c r="C775" s="198"/>
      <c r="D775" s="198"/>
      <c r="E775" s="197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</row>
    <row r="776" ht="15.75" customHeight="1">
      <c r="A776" s="200"/>
      <c r="B776" s="200"/>
      <c r="C776" s="198"/>
      <c r="D776" s="198"/>
      <c r="E776" s="197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</row>
    <row r="777" ht="15.75" customHeight="1">
      <c r="A777" s="200"/>
      <c r="B777" s="200"/>
      <c r="C777" s="198"/>
      <c r="D777" s="198"/>
      <c r="E777" s="197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</row>
    <row r="778" ht="15.75" customHeight="1">
      <c r="A778" s="200"/>
      <c r="B778" s="200"/>
      <c r="C778" s="198"/>
      <c r="D778" s="198"/>
      <c r="E778" s="197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</row>
    <row r="779" ht="15.75" customHeight="1">
      <c r="A779" s="200"/>
      <c r="B779" s="200"/>
      <c r="C779" s="198"/>
      <c r="D779" s="198"/>
      <c r="E779" s="197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</row>
    <row r="780" ht="15.75" customHeight="1">
      <c r="A780" s="200"/>
      <c r="B780" s="200"/>
      <c r="C780" s="198"/>
      <c r="D780" s="198"/>
      <c r="E780" s="197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</row>
    <row r="781" ht="15.75" customHeight="1">
      <c r="A781" s="200"/>
      <c r="B781" s="200"/>
      <c r="C781" s="198"/>
      <c r="D781" s="198"/>
      <c r="E781" s="197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</row>
    <row r="782" ht="15.75" customHeight="1">
      <c r="A782" s="200"/>
      <c r="B782" s="200"/>
      <c r="C782" s="198"/>
      <c r="D782" s="198"/>
      <c r="E782" s="197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</row>
    <row r="783" ht="15.75" customHeight="1">
      <c r="A783" s="200"/>
      <c r="B783" s="200"/>
      <c r="C783" s="198"/>
      <c r="D783" s="198"/>
      <c r="E783" s="197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</row>
    <row r="784" ht="15.75" customHeight="1">
      <c r="A784" s="200"/>
      <c r="B784" s="200"/>
      <c r="C784" s="198"/>
      <c r="D784" s="198"/>
      <c r="E784" s="197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</row>
    <row r="785" ht="15.75" customHeight="1">
      <c r="A785" s="200"/>
      <c r="B785" s="200"/>
      <c r="C785" s="198"/>
      <c r="D785" s="198"/>
      <c r="E785" s="197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</row>
    <row r="786" ht="15.75" customHeight="1">
      <c r="A786" s="200"/>
      <c r="B786" s="200"/>
      <c r="C786" s="198"/>
      <c r="D786" s="198"/>
      <c r="E786" s="197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</row>
    <row r="787" ht="15.75" customHeight="1">
      <c r="A787" s="200"/>
      <c r="B787" s="200"/>
      <c r="C787" s="198"/>
      <c r="D787" s="198"/>
      <c r="E787" s="197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</row>
    <row r="788" ht="15.75" customHeight="1">
      <c r="A788" s="200"/>
      <c r="B788" s="200"/>
      <c r="C788" s="198"/>
      <c r="D788" s="198"/>
      <c r="E788" s="197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</row>
    <row r="789" ht="15.75" customHeight="1">
      <c r="A789" s="200"/>
      <c r="B789" s="200"/>
      <c r="C789" s="198"/>
      <c r="D789" s="198"/>
      <c r="E789" s="197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</row>
    <row r="790" ht="15.75" customHeight="1">
      <c r="A790" s="200"/>
      <c r="B790" s="200"/>
      <c r="C790" s="198"/>
      <c r="D790" s="198"/>
      <c r="E790" s="197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</row>
    <row r="791" ht="15.75" customHeight="1">
      <c r="A791" s="200"/>
      <c r="B791" s="200"/>
      <c r="C791" s="198"/>
      <c r="D791" s="198"/>
      <c r="E791" s="197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</row>
    <row r="792" ht="15.75" customHeight="1">
      <c r="A792" s="200"/>
      <c r="B792" s="200"/>
      <c r="C792" s="198"/>
      <c r="D792" s="198"/>
      <c r="E792" s="197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</row>
    <row r="793" ht="15.75" customHeight="1">
      <c r="A793" s="200"/>
      <c r="B793" s="200"/>
      <c r="C793" s="198"/>
      <c r="D793" s="198"/>
      <c r="E793" s="197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</row>
    <row r="794" ht="15.75" customHeight="1">
      <c r="A794" s="200"/>
      <c r="B794" s="200"/>
      <c r="C794" s="198"/>
      <c r="D794" s="198"/>
      <c r="E794" s="197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</row>
    <row r="795" ht="15.75" customHeight="1">
      <c r="A795" s="200"/>
      <c r="B795" s="200"/>
      <c r="C795" s="198"/>
      <c r="D795" s="198"/>
      <c r="E795" s="197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</row>
    <row r="796" ht="15.75" customHeight="1">
      <c r="A796" s="200"/>
      <c r="B796" s="200"/>
      <c r="C796" s="198"/>
      <c r="D796" s="198"/>
      <c r="E796" s="197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</row>
    <row r="797" ht="15.75" customHeight="1">
      <c r="A797" s="200"/>
      <c r="B797" s="200"/>
      <c r="C797" s="198"/>
      <c r="D797" s="198"/>
      <c r="E797" s="197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</row>
    <row r="798" ht="15.75" customHeight="1">
      <c r="A798" s="200"/>
      <c r="B798" s="200"/>
      <c r="C798" s="198"/>
      <c r="D798" s="198"/>
      <c r="E798" s="197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</row>
    <row r="799" ht="15.75" customHeight="1">
      <c r="A799" s="200"/>
      <c r="B799" s="200"/>
      <c r="C799" s="198"/>
      <c r="D799" s="198"/>
      <c r="E799" s="197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</row>
    <row r="800" ht="15.75" customHeight="1">
      <c r="A800" s="200"/>
      <c r="B800" s="200"/>
      <c r="C800" s="198"/>
      <c r="D800" s="198"/>
      <c r="E800" s="197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</row>
    <row r="801" ht="15.75" customHeight="1">
      <c r="A801" s="200"/>
      <c r="B801" s="200"/>
      <c r="C801" s="198"/>
      <c r="D801" s="198"/>
      <c r="E801" s="197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</row>
    <row r="802" ht="15.75" customHeight="1">
      <c r="A802" s="200"/>
      <c r="B802" s="200"/>
      <c r="C802" s="198"/>
      <c r="D802" s="198"/>
      <c r="E802" s="197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</row>
    <row r="803" ht="15.75" customHeight="1">
      <c r="A803" s="200"/>
      <c r="B803" s="200"/>
      <c r="C803" s="198"/>
      <c r="D803" s="198"/>
      <c r="E803" s="197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</row>
    <row r="804" ht="15.75" customHeight="1">
      <c r="A804" s="200"/>
      <c r="B804" s="200"/>
      <c r="C804" s="198"/>
      <c r="D804" s="198"/>
      <c r="E804" s="197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</row>
    <row r="805" ht="15.75" customHeight="1">
      <c r="A805" s="200"/>
      <c r="B805" s="200"/>
      <c r="C805" s="198"/>
      <c r="D805" s="198"/>
      <c r="E805" s="197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</row>
    <row r="806" ht="15.75" customHeight="1">
      <c r="A806" s="200"/>
      <c r="B806" s="200"/>
      <c r="C806" s="198"/>
      <c r="D806" s="198"/>
      <c r="E806" s="197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</row>
    <row r="807" ht="15.75" customHeight="1">
      <c r="A807" s="200"/>
      <c r="B807" s="200"/>
      <c r="C807" s="198"/>
      <c r="D807" s="198"/>
      <c r="E807" s="197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</row>
    <row r="808" ht="15.75" customHeight="1">
      <c r="A808" s="200"/>
      <c r="B808" s="200"/>
      <c r="C808" s="198"/>
      <c r="D808" s="198"/>
      <c r="E808" s="197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</row>
    <row r="809" ht="15.75" customHeight="1">
      <c r="A809" s="200"/>
      <c r="B809" s="200"/>
      <c r="C809" s="198"/>
      <c r="D809" s="198"/>
      <c r="E809" s="197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</row>
    <row r="810" ht="15.75" customHeight="1">
      <c r="A810" s="200"/>
      <c r="B810" s="200"/>
      <c r="C810" s="198"/>
      <c r="D810" s="198"/>
      <c r="E810" s="197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</row>
    <row r="811" ht="15.75" customHeight="1">
      <c r="A811" s="200"/>
      <c r="B811" s="200"/>
      <c r="C811" s="198"/>
      <c r="D811" s="198"/>
      <c r="E811" s="197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</row>
    <row r="812" ht="15.75" customHeight="1">
      <c r="A812" s="200"/>
      <c r="B812" s="200"/>
      <c r="C812" s="198"/>
      <c r="D812" s="198"/>
      <c r="E812" s="197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</row>
    <row r="813" ht="15.75" customHeight="1">
      <c r="A813" s="200"/>
      <c r="B813" s="200"/>
      <c r="C813" s="198"/>
      <c r="D813" s="198"/>
      <c r="E813" s="197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</row>
    <row r="814" ht="15.75" customHeight="1">
      <c r="A814" s="200"/>
      <c r="B814" s="200"/>
      <c r="C814" s="198"/>
      <c r="D814" s="198"/>
      <c r="E814" s="197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</row>
    <row r="815" ht="15.75" customHeight="1">
      <c r="A815" s="200"/>
      <c r="B815" s="200"/>
      <c r="C815" s="198"/>
      <c r="D815" s="198"/>
      <c r="E815" s="197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</row>
    <row r="816" ht="15.75" customHeight="1">
      <c r="A816" s="200"/>
      <c r="B816" s="200"/>
      <c r="C816" s="198"/>
      <c r="D816" s="198"/>
      <c r="E816" s="197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</row>
    <row r="817" ht="15.75" customHeight="1">
      <c r="A817" s="200"/>
      <c r="B817" s="200"/>
      <c r="C817" s="198"/>
      <c r="D817" s="198"/>
      <c r="E817" s="197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</row>
    <row r="818" ht="15.75" customHeight="1">
      <c r="A818" s="200"/>
      <c r="B818" s="200"/>
      <c r="C818" s="198"/>
      <c r="D818" s="198"/>
      <c r="E818" s="197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</row>
    <row r="819" ht="15.75" customHeight="1">
      <c r="A819" s="200"/>
      <c r="B819" s="200"/>
      <c r="C819" s="198"/>
      <c r="D819" s="198"/>
      <c r="E819" s="197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</row>
    <row r="820" ht="15.75" customHeight="1">
      <c r="A820" s="200"/>
      <c r="B820" s="200"/>
      <c r="C820" s="198"/>
      <c r="D820" s="198"/>
      <c r="E820" s="197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</row>
    <row r="821" ht="15.75" customHeight="1">
      <c r="A821" s="200"/>
      <c r="B821" s="200"/>
      <c r="C821" s="198"/>
      <c r="D821" s="198"/>
      <c r="E821" s="197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</row>
    <row r="822" ht="15.75" customHeight="1">
      <c r="A822" s="200"/>
      <c r="B822" s="200"/>
      <c r="C822" s="198"/>
      <c r="D822" s="198"/>
      <c r="E822" s="197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</row>
    <row r="823" ht="15.75" customHeight="1">
      <c r="A823" s="200"/>
      <c r="B823" s="200"/>
      <c r="C823" s="198"/>
      <c r="D823" s="198"/>
      <c r="E823" s="197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</row>
    <row r="824" ht="15.75" customHeight="1">
      <c r="A824" s="200"/>
      <c r="B824" s="200"/>
      <c r="C824" s="198"/>
      <c r="D824" s="198"/>
      <c r="E824" s="197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</row>
    <row r="825" ht="15.75" customHeight="1">
      <c r="A825" s="200"/>
      <c r="B825" s="200"/>
      <c r="C825" s="198"/>
      <c r="D825" s="198"/>
      <c r="E825" s="197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</row>
    <row r="826" ht="15.75" customHeight="1">
      <c r="A826" s="200"/>
      <c r="B826" s="200"/>
      <c r="C826" s="198"/>
      <c r="D826" s="198"/>
      <c r="E826" s="197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</row>
    <row r="827" ht="15.75" customHeight="1">
      <c r="A827" s="200"/>
      <c r="B827" s="200"/>
      <c r="C827" s="198"/>
      <c r="D827" s="198"/>
      <c r="E827" s="197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</row>
    <row r="828" ht="15.75" customHeight="1">
      <c r="A828" s="200"/>
      <c r="B828" s="200"/>
      <c r="C828" s="198"/>
      <c r="D828" s="198"/>
      <c r="E828" s="197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</row>
    <row r="829" ht="15.75" customHeight="1">
      <c r="A829" s="200"/>
      <c r="B829" s="200"/>
      <c r="C829" s="198"/>
      <c r="D829" s="198"/>
      <c r="E829" s="197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</row>
    <row r="830" ht="15.75" customHeight="1">
      <c r="A830" s="200"/>
      <c r="B830" s="200"/>
      <c r="C830" s="198"/>
      <c r="D830" s="198"/>
      <c r="E830" s="197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</row>
    <row r="831" ht="15.75" customHeight="1">
      <c r="A831" s="200"/>
      <c r="B831" s="200"/>
      <c r="C831" s="198"/>
      <c r="D831" s="198"/>
      <c r="E831" s="197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</row>
    <row r="832" ht="15.75" customHeight="1">
      <c r="A832" s="200"/>
      <c r="B832" s="200"/>
      <c r="C832" s="198"/>
      <c r="D832" s="198"/>
      <c r="E832" s="197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</row>
    <row r="833" ht="15.75" customHeight="1">
      <c r="A833" s="200"/>
      <c r="B833" s="200"/>
      <c r="C833" s="198"/>
      <c r="D833" s="198"/>
      <c r="E833" s="197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</row>
    <row r="834" ht="15.75" customHeight="1">
      <c r="A834" s="200"/>
      <c r="B834" s="200"/>
      <c r="C834" s="198"/>
      <c r="D834" s="198"/>
      <c r="E834" s="197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</row>
    <row r="835" ht="15.75" customHeight="1">
      <c r="A835" s="200"/>
      <c r="B835" s="200"/>
      <c r="C835" s="198"/>
      <c r="D835" s="198"/>
      <c r="E835" s="197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</row>
    <row r="836" ht="15.75" customHeight="1">
      <c r="A836" s="200"/>
      <c r="B836" s="200"/>
      <c r="C836" s="198"/>
      <c r="D836" s="198"/>
      <c r="E836" s="197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</row>
    <row r="837" ht="15.75" customHeight="1">
      <c r="A837" s="200"/>
      <c r="B837" s="200"/>
      <c r="C837" s="198"/>
      <c r="D837" s="198"/>
      <c r="E837" s="197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</row>
    <row r="838" ht="15.75" customHeight="1">
      <c r="A838" s="200"/>
      <c r="B838" s="200"/>
      <c r="C838" s="198"/>
      <c r="D838" s="198"/>
      <c r="E838" s="197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</row>
    <row r="839" ht="15.75" customHeight="1">
      <c r="A839" s="200"/>
      <c r="B839" s="200"/>
      <c r="C839" s="198"/>
      <c r="D839" s="198"/>
      <c r="E839" s="197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</row>
    <row r="840" ht="15.75" customHeight="1">
      <c r="A840" s="200"/>
      <c r="B840" s="200"/>
      <c r="C840" s="198"/>
      <c r="D840" s="198"/>
      <c r="E840" s="197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</row>
    <row r="841" ht="15.75" customHeight="1">
      <c r="A841" s="200"/>
      <c r="B841" s="200"/>
      <c r="C841" s="198"/>
      <c r="D841" s="198"/>
      <c r="E841" s="197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</row>
    <row r="842" ht="15.75" customHeight="1">
      <c r="A842" s="200"/>
      <c r="B842" s="200"/>
      <c r="C842" s="198"/>
      <c r="D842" s="198"/>
      <c r="E842" s="197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</row>
    <row r="843" ht="15.75" customHeight="1">
      <c r="A843" s="200"/>
      <c r="B843" s="200"/>
      <c r="C843" s="198"/>
      <c r="D843" s="198"/>
      <c r="E843" s="197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</row>
    <row r="844" ht="15.75" customHeight="1">
      <c r="A844" s="200"/>
      <c r="B844" s="200"/>
      <c r="C844" s="198"/>
      <c r="D844" s="198"/>
      <c r="E844" s="197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</row>
    <row r="845" ht="15.75" customHeight="1">
      <c r="A845" s="200"/>
      <c r="B845" s="200"/>
      <c r="C845" s="198"/>
      <c r="D845" s="198"/>
      <c r="E845" s="197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</row>
    <row r="846" ht="15.75" customHeight="1">
      <c r="A846" s="200"/>
      <c r="B846" s="200"/>
      <c r="C846" s="198"/>
      <c r="D846" s="198"/>
      <c r="E846" s="197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</row>
    <row r="847" ht="15.75" customHeight="1">
      <c r="A847" s="200"/>
      <c r="B847" s="200"/>
      <c r="C847" s="198"/>
      <c r="D847" s="198"/>
      <c r="E847" s="197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</row>
    <row r="848" ht="15.75" customHeight="1">
      <c r="A848" s="200"/>
      <c r="B848" s="200"/>
      <c r="C848" s="198"/>
      <c r="D848" s="198"/>
      <c r="E848" s="197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</row>
    <row r="849" ht="15.75" customHeight="1">
      <c r="A849" s="200"/>
      <c r="B849" s="200"/>
      <c r="C849" s="198"/>
      <c r="D849" s="198"/>
      <c r="E849" s="197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</row>
    <row r="850" ht="15.75" customHeight="1">
      <c r="A850" s="200"/>
      <c r="B850" s="200"/>
      <c r="C850" s="198"/>
      <c r="D850" s="198"/>
      <c r="E850" s="197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</row>
    <row r="851" ht="15.75" customHeight="1">
      <c r="A851" s="200"/>
      <c r="B851" s="200"/>
      <c r="C851" s="198"/>
      <c r="D851" s="198"/>
      <c r="E851" s="197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</row>
    <row r="852" ht="15.75" customHeight="1">
      <c r="A852" s="200"/>
      <c r="B852" s="200"/>
      <c r="C852" s="198"/>
      <c r="D852" s="198"/>
      <c r="E852" s="197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</row>
    <row r="853" ht="15.75" customHeight="1">
      <c r="A853" s="200"/>
      <c r="B853" s="200"/>
      <c r="C853" s="198"/>
      <c r="D853" s="198"/>
      <c r="E853" s="197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</row>
    <row r="854" ht="15.75" customHeight="1">
      <c r="A854" s="200"/>
      <c r="B854" s="200"/>
      <c r="C854" s="198"/>
      <c r="D854" s="198"/>
      <c r="E854" s="197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</row>
    <row r="855" ht="15.75" customHeight="1">
      <c r="A855" s="200"/>
      <c r="B855" s="200"/>
      <c r="C855" s="198"/>
      <c r="D855" s="198"/>
      <c r="E855" s="197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</row>
    <row r="856" ht="15.75" customHeight="1">
      <c r="A856" s="200"/>
      <c r="B856" s="200"/>
      <c r="C856" s="198"/>
      <c r="D856" s="198"/>
      <c r="E856" s="197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</row>
    <row r="857" ht="15.75" customHeight="1">
      <c r="A857" s="200"/>
      <c r="B857" s="200"/>
      <c r="C857" s="198"/>
      <c r="D857" s="198"/>
      <c r="E857" s="197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</row>
    <row r="858" ht="15.75" customHeight="1">
      <c r="A858" s="200"/>
      <c r="B858" s="200"/>
      <c r="C858" s="198"/>
      <c r="D858" s="198"/>
      <c r="E858" s="197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</row>
    <row r="859" ht="15.75" customHeight="1">
      <c r="A859" s="200"/>
      <c r="B859" s="200"/>
      <c r="C859" s="198"/>
      <c r="D859" s="198"/>
      <c r="E859" s="197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</row>
    <row r="860" ht="15.75" customHeight="1">
      <c r="A860" s="200"/>
      <c r="B860" s="200"/>
      <c r="C860" s="198"/>
      <c r="D860" s="198"/>
      <c r="E860" s="197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</row>
    <row r="861" ht="15.75" customHeight="1">
      <c r="A861" s="200"/>
      <c r="B861" s="200"/>
      <c r="C861" s="198"/>
      <c r="D861" s="198"/>
      <c r="E861" s="197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</row>
    <row r="862" ht="15.75" customHeight="1">
      <c r="A862" s="200"/>
      <c r="B862" s="200"/>
      <c r="C862" s="198"/>
      <c r="D862" s="198"/>
      <c r="E862" s="197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</row>
    <row r="863" ht="15.75" customHeight="1">
      <c r="A863" s="200"/>
      <c r="B863" s="200"/>
      <c r="C863" s="198"/>
      <c r="D863" s="198"/>
      <c r="E863" s="197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</row>
    <row r="864" ht="15.75" customHeight="1">
      <c r="A864" s="200"/>
      <c r="B864" s="200"/>
      <c r="C864" s="198"/>
      <c r="D864" s="198"/>
      <c r="E864" s="197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</row>
    <row r="865" ht="15.75" customHeight="1">
      <c r="A865" s="200"/>
      <c r="B865" s="200"/>
      <c r="C865" s="198"/>
      <c r="D865" s="198"/>
      <c r="E865" s="197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</row>
    <row r="866" ht="15.75" customHeight="1">
      <c r="A866" s="200"/>
      <c r="B866" s="200"/>
      <c r="C866" s="198"/>
      <c r="D866" s="198"/>
      <c r="E866" s="197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</row>
    <row r="867" ht="15.75" customHeight="1">
      <c r="A867" s="200"/>
      <c r="B867" s="200"/>
      <c r="C867" s="198"/>
      <c r="D867" s="198"/>
      <c r="E867" s="197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</row>
    <row r="868" ht="15.75" customHeight="1">
      <c r="A868" s="200"/>
      <c r="B868" s="200"/>
      <c r="C868" s="198"/>
      <c r="D868" s="198"/>
      <c r="E868" s="197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</row>
    <row r="869" ht="15.75" customHeight="1">
      <c r="A869" s="200"/>
      <c r="B869" s="200"/>
      <c r="C869" s="198"/>
      <c r="D869" s="198"/>
      <c r="E869" s="197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</row>
    <row r="870" ht="15.75" customHeight="1">
      <c r="A870" s="200"/>
      <c r="B870" s="200"/>
      <c r="C870" s="198"/>
      <c r="D870" s="198"/>
      <c r="E870" s="197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</row>
    <row r="871" ht="15.75" customHeight="1">
      <c r="A871" s="200"/>
      <c r="B871" s="200"/>
      <c r="C871" s="198"/>
      <c r="D871" s="198"/>
      <c r="E871" s="197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</row>
    <row r="872" ht="15.75" customHeight="1">
      <c r="A872" s="200"/>
      <c r="B872" s="200"/>
      <c r="C872" s="198"/>
      <c r="D872" s="198"/>
      <c r="E872" s="197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</row>
    <row r="873" ht="15.75" customHeight="1">
      <c r="A873" s="200"/>
      <c r="B873" s="200"/>
      <c r="C873" s="198"/>
      <c r="D873" s="198"/>
      <c r="E873" s="197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</row>
    <row r="874" ht="15.75" customHeight="1">
      <c r="A874" s="200"/>
      <c r="B874" s="200"/>
      <c r="C874" s="198"/>
      <c r="D874" s="198"/>
      <c r="E874" s="197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</row>
    <row r="875" ht="15.75" customHeight="1">
      <c r="A875" s="200"/>
      <c r="B875" s="200"/>
      <c r="C875" s="198"/>
      <c r="D875" s="198"/>
      <c r="E875" s="197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</row>
    <row r="876" ht="15.75" customHeight="1">
      <c r="A876" s="200"/>
      <c r="B876" s="200"/>
      <c r="C876" s="198"/>
      <c r="D876" s="198"/>
      <c r="E876" s="197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</row>
    <row r="877" ht="15.75" customHeight="1">
      <c r="A877" s="200"/>
      <c r="B877" s="200"/>
      <c r="C877" s="198"/>
      <c r="D877" s="198"/>
      <c r="E877" s="197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</row>
    <row r="878" ht="15.75" customHeight="1">
      <c r="A878" s="200"/>
      <c r="B878" s="200"/>
      <c r="C878" s="198"/>
      <c r="D878" s="198"/>
      <c r="E878" s="197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</row>
    <row r="879" ht="15.75" customHeight="1">
      <c r="A879" s="200"/>
      <c r="B879" s="200"/>
      <c r="C879" s="198"/>
      <c r="D879" s="198"/>
      <c r="E879" s="197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</row>
    <row r="880" ht="15.75" customHeight="1">
      <c r="A880" s="200"/>
      <c r="B880" s="200"/>
      <c r="C880" s="198"/>
      <c r="D880" s="198"/>
      <c r="E880" s="197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</row>
    <row r="881" ht="15.75" customHeight="1">
      <c r="A881" s="200"/>
      <c r="B881" s="200"/>
      <c r="C881" s="198"/>
      <c r="D881" s="198"/>
      <c r="E881" s="197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</row>
    <row r="882" ht="15.75" customHeight="1">
      <c r="A882" s="200"/>
      <c r="B882" s="200"/>
      <c r="C882" s="198"/>
      <c r="D882" s="198"/>
      <c r="E882" s="197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</row>
    <row r="883" ht="15.75" customHeight="1">
      <c r="A883" s="200"/>
      <c r="B883" s="200"/>
      <c r="C883" s="198"/>
      <c r="D883" s="198"/>
      <c r="E883" s="197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</row>
    <row r="884" ht="15.75" customHeight="1">
      <c r="A884" s="200"/>
      <c r="B884" s="200"/>
      <c r="C884" s="198"/>
      <c r="D884" s="198"/>
      <c r="E884" s="197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</row>
    <row r="885" ht="15.75" customHeight="1">
      <c r="A885" s="200"/>
      <c r="B885" s="200"/>
      <c r="C885" s="198"/>
      <c r="D885" s="198"/>
      <c r="E885" s="197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</row>
    <row r="886" ht="15.75" customHeight="1">
      <c r="A886" s="200"/>
      <c r="B886" s="200"/>
      <c r="C886" s="198"/>
      <c r="D886" s="198"/>
      <c r="E886" s="197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</row>
    <row r="887" ht="15.75" customHeight="1">
      <c r="A887" s="200"/>
      <c r="B887" s="200"/>
      <c r="C887" s="198"/>
      <c r="D887" s="198"/>
      <c r="E887" s="197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</row>
    <row r="888" ht="15.75" customHeight="1">
      <c r="A888" s="200"/>
      <c r="B888" s="200"/>
      <c r="C888" s="198"/>
      <c r="D888" s="198"/>
      <c r="E888" s="197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</row>
    <row r="889" ht="15.75" customHeight="1">
      <c r="A889" s="200"/>
      <c r="B889" s="200"/>
      <c r="C889" s="198"/>
      <c r="D889" s="198"/>
      <c r="E889" s="197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</row>
    <row r="890" ht="15.75" customHeight="1">
      <c r="A890" s="200"/>
      <c r="B890" s="200"/>
      <c r="C890" s="198"/>
      <c r="D890" s="198"/>
      <c r="E890" s="197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</row>
    <row r="891" ht="15.75" customHeight="1">
      <c r="A891" s="200"/>
      <c r="B891" s="200"/>
      <c r="C891" s="198"/>
      <c r="D891" s="198"/>
      <c r="E891" s="197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</row>
    <row r="892" ht="15.75" customHeight="1">
      <c r="A892" s="200"/>
      <c r="B892" s="200"/>
      <c r="C892" s="198"/>
      <c r="D892" s="198"/>
      <c r="E892" s="197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</row>
    <row r="893" ht="15.75" customHeight="1">
      <c r="A893" s="200"/>
      <c r="B893" s="200"/>
      <c r="C893" s="198"/>
      <c r="D893" s="198"/>
      <c r="E893" s="197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</row>
    <row r="894" ht="15.75" customHeight="1">
      <c r="A894" s="200"/>
      <c r="B894" s="200"/>
      <c r="C894" s="198"/>
      <c r="D894" s="198"/>
      <c r="E894" s="197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</row>
    <row r="895" ht="15.75" customHeight="1">
      <c r="A895" s="200"/>
      <c r="B895" s="200"/>
      <c r="C895" s="198"/>
      <c r="D895" s="198"/>
      <c r="E895" s="197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</row>
    <row r="896" ht="15.75" customHeight="1">
      <c r="A896" s="200"/>
      <c r="B896" s="200"/>
      <c r="C896" s="198"/>
      <c r="D896" s="198"/>
      <c r="E896" s="197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</row>
    <row r="897" ht="15.75" customHeight="1">
      <c r="A897" s="200"/>
      <c r="B897" s="200"/>
      <c r="C897" s="198"/>
      <c r="D897" s="198"/>
      <c r="E897" s="197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</row>
    <row r="898" ht="15.75" customHeight="1">
      <c r="A898" s="200"/>
      <c r="B898" s="200"/>
      <c r="C898" s="198"/>
      <c r="D898" s="198"/>
      <c r="E898" s="197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</row>
    <row r="899" ht="15.75" customHeight="1">
      <c r="A899" s="200"/>
      <c r="B899" s="200"/>
      <c r="C899" s="198"/>
      <c r="D899" s="198"/>
      <c r="E899" s="197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</row>
    <row r="900" ht="15.75" customHeight="1">
      <c r="A900" s="200"/>
      <c r="B900" s="200"/>
      <c r="C900" s="198"/>
      <c r="D900" s="198"/>
      <c r="E900" s="197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</row>
    <row r="901" ht="15.75" customHeight="1">
      <c r="A901" s="200"/>
      <c r="B901" s="200"/>
      <c r="C901" s="198"/>
      <c r="D901" s="198"/>
      <c r="E901" s="197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</row>
    <row r="902" ht="15.75" customHeight="1">
      <c r="A902" s="200"/>
      <c r="B902" s="200"/>
      <c r="C902" s="198"/>
      <c r="D902" s="198"/>
      <c r="E902" s="197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</row>
    <row r="903" ht="15.75" customHeight="1">
      <c r="A903" s="200"/>
      <c r="B903" s="200"/>
      <c r="C903" s="198"/>
      <c r="D903" s="198"/>
      <c r="E903" s="197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</row>
    <row r="904" ht="15.75" customHeight="1">
      <c r="A904" s="200"/>
      <c r="B904" s="200"/>
      <c r="C904" s="198"/>
      <c r="D904" s="198"/>
      <c r="E904" s="197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</row>
    <row r="905" ht="15.75" customHeight="1">
      <c r="A905" s="200"/>
      <c r="B905" s="200"/>
      <c r="C905" s="198"/>
      <c r="D905" s="198"/>
      <c r="E905" s="197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</row>
    <row r="906" ht="15.75" customHeight="1">
      <c r="A906" s="200"/>
      <c r="B906" s="200"/>
      <c r="C906" s="198"/>
      <c r="D906" s="198"/>
      <c r="E906" s="197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</row>
    <row r="907" ht="15.75" customHeight="1">
      <c r="A907" s="200"/>
      <c r="B907" s="200"/>
      <c r="C907" s="198"/>
      <c r="D907" s="198"/>
      <c r="E907" s="197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</row>
    <row r="908" ht="15.75" customHeight="1">
      <c r="A908" s="200"/>
      <c r="B908" s="200"/>
      <c r="C908" s="198"/>
      <c r="D908" s="198"/>
      <c r="E908" s="197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</row>
    <row r="909" ht="15.75" customHeight="1">
      <c r="A909" s="200"/>
      <c r="B909" s="200"/>
      <c r="C909" s="198"/>
      <c r="D909" s="198"/>
      <c r="E909" s="197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</row>
    <row r="910" ht="15.75" customHeight="1">
      <c r="A910" s="200"/>
      <c r="B910" s="200"/>
      <c r="C910" s="198"/>
      <c r="D910" s="198"/>
      <c r="E910" s="197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</row>
    <row r="911" ht="15.75" customHeight="1">
      <c r="A911" s="200"/>
      <c r="B911" s="200"/>
      <c r="C911" s="198"/>
      <c r="D911" s="198"/>
      <c r="E911" s="197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</row>
    <row r="912" ht="15.75" customHeight="1">
      <c r="A912" s="200"/>
      <c r="B912" s="200"/>
      <c r="C912" s="198"/>
      <c r="D912" s="198"/>
      <c r="E912" s="197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</row>
    <row r="913" ht="15.75" customHeight="1">
      <c r="A913" s="200"/>
      <c r="B913" s="200"/>
      <c r="C913" s="198"/>
      <c r="D913" s="198"/>
      <c r="E913" s="197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</row>
    <row r="914" ht="15.75" customHeight="1">
      <c r="A914" s="200"/>
      <c r="B914" s="200"/>
      <c r="C914" s="198"/>
      <c r="D914" s="198"/>
      <c r="E914" s="197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</row>
    <row r="915" ht="15.75" customHeight="1">
      <c r="A915" s="200"/>
      <c r="B915" s="200"/>
      <c r="C915" s="198"/>
      <c r="D915" s="198"/>
      <c r="E915" s="197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</row>
    <row r="916" ht="15.75" customHeight="1">
      <c r="A916" s="200"/>
      <c r="B916" s="200"/>
      <c r="C916" s="198"/>
      <c r="D916" s="198"/>
      <c r="E916" s="197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</row>
    <row r="917" ht="15.75" customHeight="1">
      <c r="A917" s="200"/>
      <c r="B917" s="200"/>
      <c r="C917" s="198"/>
      <c r="D917" s="198"/>
      <c r="E917" s="197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</row>
    <row r="918" ht="15.75" customHeight="1">
      <c r="A918" s="200"/>
      <c r="B918" s="200"/>
      <c r="C918" s="198"/>
      <c r="D918" s="198"/>
      <c r="E918" s="197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</row>
    <row r="919" ht="15.75" customHeight="1">
      <c r="A919" s="200"/>
      <c r="B919" s="200"/>
      <c r="C919" s="198"/>
      <c r="D919" s="198"/>
      <c r="E919" s="197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</row>
    <row r="920" ht="15.75" customHeight="1">
      <c r="A920" s="200"/>
      <c r="B920" s="200"/>
      <c r="C920" s="198"/>
      <c r="D920" s="198"/>
      <c r="E920" s="197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</row>
    <row r="921" ht="15.75" customHeight="1">
      <c r="A921" s="200"/>
      <c r="B921" s="200"/>
      <c r="C921" s="198"/>
      <c r="D921" s="198"/>
      <c r="E921" s="197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</row>
    <row r="922" ht="15.75" customHeight="1">
      <c r="A922" s="200"/>
      <c r="B922" s="200"/>
      <c r="C922" s="198"/>
      <c r="D922" s="198"/>
      <c r="E922" s="197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</row>
    <row r="923" ht="15.75" customHeight="1">
      <c r="A923" s="200"/>
      <c r="B923" s="200"/>
      <c r="C923" s="198"/>
      <c r="D923" s="198"/>
      <c r="E923" s="197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</row>
    <row r="924" ht="15.75" customHeight="1">
      <c r="A924" s="200"/>
      <c r="B924" s="200"/>
      <c r="C924" s="198"/>
      <c r="D924" s="198"/>
      <c r="E924" s="197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</row>
    <row r="925" ht="15.75" customHeight="1">
      <c r="A925" s="200"/>
      <c r="B925" s="200"/>
      <c r="C925" s="198"/>
      <c r="D925" s="198"/>
      <c r="E925" s="197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</row>
    <row r="926" ht="15.75" customHeight="1">
      <c r="A926" s="200"/>
      <c r="B926" s="200"/>
      <c r="C926" s="198"/>
      <c r="D926" s="198"/>
      <c r="E926" s="197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</row>
    <row r="927" ht="15.75" customHeight="1">
      <c r="A927" s="200"/>
      <c r="B927" s="200"/>
      <c r="C927" s="198"/>
      <c r="D927" s="198"/>
      <c r="E927" s="197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</row>
    <row r="928" ht="15.75" customHeight="1">
      <c r="A928" s="200"/>
      <c r="B928" s="200"/>
      <c r="C928" s="198"/>
      <c r="D928" s="198"/>
      <c r="E928" s="197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</row>
    <row r="929" ht="15.75" customHeight="1">
      <c r="A929" s="200"/>
      <c r="B929" s="200"/>
      <c r="C929" s="198"/>
      <c r="D929" s="198"/>
      <c r="E929" s="197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</row>
    <row r="930" ht="15.75" customHeight="1">
      <c r="A930" s="200"/>
      <c r="B930" s="200"/>
      <c r="C930" s="198"/>
      <c r="D930" s="198"/>
      <c r="E930" s="197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</row>
    <row r="931" ht="15.75" customHeight="1">
      <c r="A931" s="200"/>
      <c r="B931" s="200"/>
      <c r="C931" s="198"/>
      <c r="D931" s="198"/>
      <c r="E931" s="197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</row>
    <row r="932" ht="15.75" customHeight="1">
      <c r="A932" s="200"/>
      <c r="B932" s="200"/>
      <c r="C932" s="198"/>
      <c r="D932" s="198"/>
      <c r="E932" s="197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</row>
    <row r="933" ht="15.75" customHeight="1">
      <c r="A933" s="200"/>
      <c r="B933" s="200"/>
      <c r="C933" s="198"/>
      <c r="D933" s="198"/>
      <c r="E933" s="197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</row>
    <row r="934" ht="15.75" customHeight="1">
      <c r="A934" s="200"/>
      <c r="B934" s="200"/>
      <c r="C934" s="198"/>
      <c r="D934" s="198"/>
      <c r="E934" s="197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</row>
    <row r="935" ht="15.75" customHeight="1">
      <c r="A935" s="200"/>
      <c r="B935" s="200"/>
      <c r="C935" s="198"/>
      <c r="D935" s="198"/>
      <c r="E935" s="197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</row>
    <row r="936" ht="15.75" customHeight="1">
      <c r="A936" s="200"/>
      <c r="B936" s="200"/>
      <c r="C936" s="198"/>
      <c r="D936" s="198"/>
      <c r="E936" s="197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</row>
    <row r="937" ht="15.75" customHeight="1">
      <c r="A937" s="200"/>
      <c r="B937" s="200"/>
      <c r="C937" s="198"/>
      <c r="D937" s="198"/>
      <c r="E937" s="197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</row>
    <row r="938" ht="15.75" customHeight="1">
      <c r="A938" s="200"/>
      <c r="B938" s="200"/>
      <c r="C938" s="198"/>
      <c r="D938" s="198"/>
      <c r="E938" s="197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</row>
    <row r="939" ht="15.75" customHeight="1">
      <c r="A939" s="200"/>
      <c r="B939" s="200"/>
      <c r="C939" s="198"/>
      <c r="D939" s="198"/>
      <c r="E939" s="197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</row>
    <row r="940" ht="15.75" customHeight="1">
      <c r="A940" s="200"/>
      <c r="B940" s="200"/>
      <c r="C940" s="198"/>
      <c r="D940" s="198"/>
      <c r="E940" s="197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</row>
    <row r="941" ht="15.75" customHeight="1">
      <c r="A941" s="200"/>
      <c r="B941" s="200"/>
      <c r="C941" s="198"/>
      <c r="D941" s="198"/>
      <c r="E941" s="197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</row>
    <row r="942" ht="15.75" customHeight="1">
      <c r="A942" s="200"/>
      <c r="B942" s="200"/>
      <c r="C942" s="198"/>
      <c r="D942" s="198"/>
      <c r="E942" s="197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</row>
    <row r="943" ht="15.75" customHeight="1">
      <c r="A943" s="200"/>
      <c r="B943" s="200"/>
      <c r="C943" s="198"/>
      <c r="D943" s="198"/>
      <c r="E943" s="197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</row>
    <row r="944" ht="15.75" customHeight="1">
      <c r="A944" s="200"/>
      <c r="B944" s="200"/>
      <c r="C944" s="198"/>
      <c r="D944" s="198"/>
      <c r="E944" s="197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</row>
    <row r="945" ht="15.75" customHeight="1">
      <c r="A945" s="200"/>
      <c r="B945" s="200"/>
      <c r="C945" s="198"/>
      <c r="D945" s="198"/>
      <c r="E945" s="197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</row>
    <row r="946" ht="15.75" customHeight="1">
      <c r="A946" s="200"/>
      <c r="B946" s="200"/>
      <c r="C946" s="198"/>
      <c r="D946" s="198"/>
      <c r="E946" s="197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</row>
    <row r="947" ht="15.75" customHeight="1">
      <c r="A947" s="200"/>
      <c r="B947" s="200"/>
      <c r="C947" s="198"/>
      <c r="D947" s="198"/>
      <c r="E947" s="197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</row>
    <row r="948" ht="15.75" customHeight="1">
      <c r="A948" s="200"/>
      <c r="B948" s="200"/>
      <c r="C948" s="198"/>
      <c r="D948" s="198"/>
      <c r="E948" s="197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</row>
    <row r="949" ht="15.75" customHeight="1">
      <c r="A949" s="200"/>
      <c r="B949" s="200"/>
      <c r="C949" s="198"/>
      <c r="D949" s="198"/>
      <c r="E949" s="197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</row>
    <row r="950" ht="15.75" customHeight="1">
      <c r="A950" s="200"/>
      <c r="B950" s="200"/>
      <c r="C950" s="198"/>
      <c r="D950" s="198"/>
      <c r="E950" s="197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</row>
    <row r="951" ht="15.75" customHeight="1">
      <c r="A951" s="200"/>
      <c r="B951" s="200"/>
      <c r="C951" s="198"/>
      <c r="D951" s="198"/>
      <c r="E951" s="197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</row>
    <row r="952" ht="15.75" customHeight="1">
      <c r="A952" s="200"/>
      <c r="B952" s="200"/>
      <c r="C952" s="198"/>
      <c r="D952" s="198"/>
      <c r="E952" s="197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</row>
    <row r="953" ht="15.75" customHeight="1">
      <c r="A953" s="200"/>
      <c r="B953" s="200"/>
      <c r="C953" s="198"/>
      <c r="D953" s="198"/>
      <c r="E953" s="197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</row>
    <row r="954" ht="15.75" customHeight="1">
      <c r="A954" s="200"/>
      <c r="B954" s="200"/>
      <c r="C954" s="198"/>
      <c r="D954" s="198"/>
      <c r="E954" s="197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</row>
    <row r="955" ht="15.75" customHeight="1">
      <c r="A955" s="200"/>
      <c r="B955" s="200"/>
      <c r="C955" s="198"/>
      <c r="D955" s="198"/>
      <c r="E955" s="197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</row>
    <row r="956" ht="15.75" customHeight="1">
      <c r="A956" s="200"/>
      <c r="B956" s="200"/>
      <c r="C956" s="198"/>
      <c r="D956" s="198"/>
      <c r="E956" s="197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</row>
    <row r="957" ht="15.75" customHeight="1">
      <c r="A957" s="200"/>
      <c r="B957" s="200"/>
      <c r="C957" s="198"/>
      <c r="D957" s="198"/>
      <c r="E957" s="197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</row>
    <row r="958" ht="15.75" customHeight="1">
      <c r="A958" s="200"/>
      <c r="B958" s="200"/>
      <c r="C958" s="198"/>
      <c r="D958" s="198"/>
      <c r="E958" s="197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</row>
    <row r="959" ht="15.75" customHeight="1">
      <c r="A959" s="200"/>
      <c r="B959" s="200"/>
      <c r="C959" s="198"/>
      <c r="D959" s="198"/>
      <c r="E959" s="197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</row>
    <row r="960" ht="15.75" customHeight="1">
      <c r="A960" s="200"/>
      <c r="B960" s="200"/>
      <c r="C960" s="198"/>
      <c r="D960" s="198"/>
      <c r="E960" s="197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</row>
    <row r="961" ht="15.75" customHeight="1">
      <c r="A961" s="200"/>
      <c r="B961" s="200"/>
      <c r="C961" s="198"/>
      <c r="D961" s="198"/>
      <c r="E961" s="197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</row>
    <row r="962" ht="15.75" customHeight="1">
      <c r="A962" s="200"/>
      <c r="B962" s="200"/>
      <c r="C962" s="198"/>
      <c r="D962" s="198"/>
      <c r="E962" s="197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</row>
    <row r="963" ht="15.75" customHeight="1">
      <c r="A963" s="200"/>
      <c r="B963" s="200"/>
      <c r="C963" s="198"/>
      <c r="D963" s="198"/>
      <c r="E963" s="197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</row>
    <row r="964" ht="15.75" customHeight="1">
      <c r="A964" s="200"/>
      <c r="B964" s="200"/>
      <c r="C964" s="198"/>
      <c r="D964" s="198"/>
      <c r="E964" s="197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</row>
    <row r="965" ht="15.75" customHeight="1">
      <c r="A965" s="200"/>
      <c r="B965" s="200"/>
      <c r="C965" s="198"/>
      <c r="D965" s="198"/>
      <c r="E965" s="197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</row>
    <row r="966" ht="15.75" customHeight="1">
      <c r="A966" s="200"/>
      <c r="B966" s="200"/>
      <c r="C966" s="198"/>
      <c r="D966" s="198"/>
      <c r="E966" s="197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</row>
    <row r="967" ht="15.75" customHeight="1">
      <c r="A967" s="200"/>
      <c r="B967" s="200"/>
      <c r="C967" s="198"/>
      <c r="D967" s="198"/>
      <c r="E967" s="197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</row>
    <row r="968" ht="15.75" customHeight="1">
      <c r="A968" s="200"/>
      <c r="B968" s="200"/>
      <c r="C968" s="198"/>
      <c r="D968" s="198"/>
      <c r="E968" s="197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</row>
    <row r="969" ht="15.75" customHeight="1">
      <c r="A969" s="200"/>
      <c r="B969" s="200"/>
      <c r="C969" s="198"/>
      <c r="D969" s="198"/>
      <c r="E969" s="197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</row>
    <row r="970" ht="15.75" customHeight="1">
      <c r="A970" s="200"/>
      <c r="B970" s="200"/>
      <c r="C970" s="198"/>
      <c r="D970" s="198"/>
      <c r="E970" s="197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</row>
    <row r="971" ht="15.75" customHeight="1">
      <c r="A971" s="200"/>
      <c r="B971" s="200"/>
      <c r="C971" s="198"/>
      <c r="D971" s="198"/>
      <c r="E971" s="197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</row>
    <row r="972" ht="15.75" customHeight="1">
      <c r="A972" s="200"/>
      <c r="B972" s="200"/>
      <c r="C972" s="198"/>
      <c r="D972" s="198"/>
      <c r="E972" s="197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</row>
    <row r="973" ht="15.75" customHeight="1">
      <c r="A973" s="200"/>
      <c r="B973" s="200"/>
      <c r="C973" s="198"/>
      <c r="D973" s="198"/>
      <c r="E973" s="197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</row>
    <row r="974" ht="15.75" customHeight="1">
      <c r="A974" s="200"/>
      <c r="B974" s="200"/>
      <c r="C974" s="198"/>
      <c r="D974" s="198"/>
      <c r="E974" s="197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</row>
    <row r="975" ht="15.75" customHeight="1">
      <c r="A975" s="200"/>
      <c r="B975" s="200"/>
      <c r="C975" s="198"/>
      <c r="D975" s="198"/>
      <c r="E975" s="197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</row>
    <row r="976" ht="15.75" customHeight="1">
      <c r="A976" s="200"/>
      <c r="B976" s="200"/>
      <c r="C976" s="198"/>
      <c r="D976" s="198"/>
      <c r="E976" s="197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</row>
    <row r="977" ht="15.75" customHeight="1">
      <c r="A977" s="200"/>
      <c r="B977" s="200"/>
      <c r="C977" s="198"/>
      <c r="D977" s="198"/>
      <c r="E977" s="197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</row>
    <row r="978" ht="15.75" customHeight="1">
      <c r="A978" s="200"/>
      <c r="B978" s="200"/>
      <c r="C978" s="198"/>
      <c r="D978" s="198"/>
      <c r="E978" s="197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</row>
    <row r="979" ht="15.75" customHeight="1">
      <c r="A979" s="200"/>
      <c r="B979" s="200"/>
      <c r="C979" s="198"/>
      <c r="D979" s="198"/>
      <c r="E979" s="197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</row>
    <row r="980" ht="15.75" customHeight="1">
      <c r="A980" s="200"/>
      <c r="B980" s="200"/>
      <c r="C980" s="198"/>
      <c r="D980" s="198"/>
      <c r="E980" s="197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</row>
    <row r="981" ht="15.75" customHeight="1">
      <c r="A981" s="200"/>
      <c r="B981" s="200"/>
      <c r="C981" s="198"/>
      <c r="D981" s="198"/>
      <c r="E981" s="197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</row>
    <row r="982" ht="15.75" customHeight="1">
      <c r="A982" s="200"/>
      <c r="B982" s="200"/>
      <c r="C982" s="198"/>
      <c r="D982" s="198"/>
      <c r="E982" s="197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</row>
    <row r="983" ht="15.75" customHeight="1">
      <c r="A983" s="200"/>
      <c r="B983" s="200"/>
      <c r="C983" s="198"/>
      <c r="D983" s="198"/>
      <c r="E983" s="197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</row>
    <row r="984" ht="15.75" customHeight="1">
      <c r="A984" s="200"/>
      <c r="B984" s="200"/>
      <c r="C984" s="198"/>
      <c r="D984" s="198"/>
      <c r="E984" s="197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</row>
    <row r="985" ht="15.75" customHeight="1">
      <c r="A985" s="200"/>
      <c r="B985" s="200"/>
      <c r="C985" s="198"/>
      <c r="D985" s="198"/>
      <c r="E985" s="197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</row>
    <row r="986" ht="15.75" customHeight="1">
      <c r="A986" s="200"/>
      <c r="B986" s="200"/>
      <c r="C986" s="198"/>
      <c r="D986" s="198"/>
      <c r="E986" s="197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</row>
    <row r="987" ht="15.75" customHeight="1">
      <c r="A987" s="200"/>
      <c r="B987" s="200"/>
      <c r="C987" s="198"/>
      <c r="D987" s="198"/>
      <c r="E987" s="197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</row>
    <row r="988" ht="15.75" customHeight="1">
      <c r="A988" s="200"/>
      <c r="B988" s="200"/>
      <c r="C988" s="198"/>
      <c r="D988" s="198"/>
      <c r="E988" s="197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</row>
    <row r="989" ht="15.75" customHeight="1">
      <c r="A989" s="200"/>
      <c r="B989" s="200"/>
      <c r="C989" s="198"/>
      <c r="D989" s="198"/>
      <c r="E989" s="197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</row>
    <row r="990" ht="15.75" customHeight="1">
      <c r="A990" s="200"/>
      <c r="B990" s="200"/>
      <c r="C990" s="198"/>
      <c r="D990" s="198"/>
      <c r="E990" s="197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</row>
    <row r="991" ht="15.75" customHeight="1">
      <c r="A991" s="200"/>
      <c r="B991" s="200"/>
      <c r="C991" s="198"/>
      <c r="D991" s="198"/>
      <c r="E991" s="197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</row>
    <row r="992" ht="15.75" customHeight="1">
      <c r="A992" s="200"/>
      <c r="B992" s="200"/>
      <c r="C992" s="198"/>
      <c r="D992" s="198"/>
      <c r="E992" s="197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</row>
    <row r="993" ht="15.75" customHeight="1">
      <c r="A993" s="200"/>
      <c r="B993" s="200"/>
      <c r="C993" s="198"/>
      <c r="D993" s="198"/>
      <c r="E993" s="197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</row>
    <row r="994" ht="15.75" customHeight="1">
      <c r="A994" s="200"/>
      <c r="B994" s="200"/>
      <c r="C994" s="198"/>
      <c r="D994" s="198"/>
      <c r="E994" s="197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</row>
    <row r="995" ht="15.75" customHeight="1">
      <c r="A995" s="200"/>
      <c r="B995" s="200"/>
      <c r="C995" s="198"/>
      <c r="D995" s="198"/>
      <c r="E995" s="197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</row>
    <row r="996" ht="15.75" customHeight="1">
      <c r="A996" s="200"/>
      <c r="B996" s="200"/>
      <c r="C996" s="198"/>
      <c r="D996" s="198"/>
      <c r="E996" s="197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</row>
    <row r="997" ht="15.75" customHeight="1">
      <c r="A997" s="200"/>
      <c r="B997" s="200"/>
      <c r="C997" s="198"/>
      <c r="D997" s="198"/>
      <c r="E997" s="197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</row>
    <row r="998" ht="15.75" customHeight="1">
      <c r="A998" s="200"/>
      <c r="B998" s="200"/>
      <c r="C998" s="198"/>
      <c r="D998" s="198"/>
      <c r="E998" s="197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</row>
    <row r="999" ht="15.75" customHeight="1">
      <c r="A999" s="200"/>
      <c r="B999" s="200"/>
      <c r="C999" s="198"/>
      <c r="D999" s="198"/>
      <c r="E999" s="197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</row>
    <row r="1000" ht="15.75" customHeight="1">
      <c r="A1000" s="200"/>
      <c r="B1000" s="200"/>
      <c r="C1000" s="198"/>
      <c r="D1000" s="198"/>
      <c r="E1000" s="197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12.0" customHeight="1">
      <c r="A1" s="201" t="s">
        <v>184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200"/>
    </row>
    <row r="2" ht="11.25" customHeight="1">
      <c r="A2" s="146" t="s">
        <v>141</v>
      </c>
      <c r="B2" s="202" t="s">
        <v>142</v>
      </c>
      <c r="C2" s="203" t="s">
        <v>143</v>
      </c>
      <c r="D2" s="204" t="s">
        <v>185</v>
      </c>
      <c r="E2" s="204" t="s">
        <v>186</v>
      </c>
      <c r="F2" s="204" t="s">
        <v>187</v>
      </c>
      <c r="G2" s="204" t="s">
        <v>188</v>
      </c>
      <c r="H2" s="204" t="s">
        <v>189</v>
      </c>
      <c r="I2" s="204" t="s">
        <v>190</v>
      </c>
      <c r="J2" s="204" t="s">
        <v>191</v>
      </c>
      <c r="K2" s="204" t="s">
        <v>192</v>
      </c>
      <c r="L2" s="204" t="s">
        <v>193</v>
      </c>
      <c r="M2" s="204" t="s">
        <v>194</v>
      </c>
      <c r="N2" s="204" t="s">
        <v>195</v>
      </c>
      <c r="O2" s="205" t="s">
        <v>196</v>
      </c>
      <c r="P2" s="206" t="s">
        <v>197</v>
      </c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3.5" customHeight="1">
      <c r="A3" s="155">
        <v>1.0</v>
      </c>
      <c r="B3" s="207">
        <v>101.0</v>
      </c>
      <c r="C3" s="208" t="s">
        <v>198</v>
      </c>
      <c r="D3" s="209"/>
      <c r="E3" s="210"/>
      <c r="F3" s="210"/>
      <c r="G3" s="210"/>
      <c r="H3" s="211"/>
      <c r="I3" s="210"/>
      <c r="J3" s="210"/>
      <c r="K3" s="210"/>
      <c r="L3" s="210"/>
      <c r="M3" s="210"/>
      <c r="N3" s="210"/>
      <c r="O3" s="212"/>
      <c r="P3" s="213">
        <f t="shared" ref="P3:P43" si="1">SUM(D3:O3)</f>
        <v>0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ht="13.5" customHeight="1">
      <c r="A4" s="166">
        <v>2.0</v>
      </c>
      <c r="B4" s="214">
        <v>102.0</v>
      </c>
      <c r="C4" s="215" t="s">
        <v>161</v>
      </c>
      <c r="D4" s="216">
        <v>350.0</v>
      </c>
      <c r="E4" s="217">
        <v>350.0</v>
      </c>
      <c r="F4" s="217">
        <v>350.0</v>
      </c>
      <c r="G4" s="217">
        <v>350.0</v>
      </c>
      <c r="H4" s="217"/>
      <c r="I4" s="217"/>
      <c r="J4" s="217"/>
      <c r="K4" s="217"/>
      <c r="L4" s="217"/>
      <c r="M4" s="217"/>
      <c r="N4" s="217"/>
      <c r="O4" s="218"/>
      <c r="P4" s="219">
        <f t="shared" si="1"/>
        <v>1400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13.5" customHeight="1">
      <c r="A5" s="166">
        <v>3.0</v>
      </c>
      <c r="B5" s="214">
        <v>103.0</v>
      </c>
      <c r="C5" s="215" t="s">
        <v>162</v>
      </c>
      <c r="D5" s="216">
        <v>350.0</v>
      </c>
      <c r="E5" s="217">
        <v>350.0</v>
      </c>
      <c r="F5" s="217">
        <v>350.0</v>
      </c>
      <c r="G5" s="217">
        <v>350.0</v>
      </c>
      <c r="H5" s="217">
        <v>350.0</v>
      </c>
      <c r="I5" s="217"/>
      <c r="J5" s="217"/>
      <c r="K5" s="217"/>
      <c r="L5" s="217"/>
      <c r="M5" s="217"/>
      <c r="N5" s="217"/>
      <c r="O5" s="218"/>
      <c r="P5" s="219">
        <f t="shared" si="1"/>
        <v>1750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13.5" customHeight="1">
      <c r="A6" s="166">
        <v>4.0</v>
      </c>
      <c r="B6" s="214">
        <v>104.0</v>
      </c>
      <c r="C6" s="215" t="s">
        <v>163</v>
      </c>
      <c r="D6" s="216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8"/>
      <c r="P6" s="219">
        <f t="shared" si="1"/>
        <v>0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13.5" customHeight="1">
      <c r="A7" s="166">
        <v>5.0</v>
      </c>
      <c r="B7" s="214">
        <v>201.0</v>
      </c>
      <c r="C7" s="215" t="s">
        <v>164</v>
      </c>
      <c r="D7" s="216">
        <v>350.0</v>
      </c>
      <c r="E7" s="217">
        <v>350.0</v>
      </c>
      <c r="F7" s="217">
        <v>350.0</v>
      </c>
      <c r="G7" s="217">
        <v>350.0</v>
      </c>
      <c r="H7" s="217"/>
      <c r="I7" s="217"/>
      <c r="J7" s="217"/>
      <c r="K7" s="217"/>
      <c r="L7" s="217"/>
      <c r="M7" s="217"/>
      <c r="N7" s="217"/>
      <c r="O7" s="218"/>
      <c r="P7" s="219">
        <f t="shared" si="1"/>
        <v>1400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13.5" customHeight="1">
      <c r="A8" s="166">
        <v>6.0</v>
      </c>
      <c r="B8" s="214">
        <v>202.0</v>
      </c>
      <c r="C8" s="215" t="s">
        <v>199</v>
      </c>
      <c r="D8" s="216">
        <v>350.0</v>
      </c>
      <c r="E8" s="217">
        <v>350.0</v>
      </c>
      <c r="F8" s="217">
        <v>350.0</v>
      </c>
      <c r="G8" s="217">
        <v>350.0</v>
      </c>
      <c r="H8" s="217">
        <v>350.0</v>
      </c>
      <c r="I8" s="217"/>
      <c r="J8" s="217"/>
      <c r="K8" s="217"/>
      <c r="L8" s="217"/>
      <c r="M8" s="217"/>
      <c r="N8" s="217"/>
      <c r="O8" s="218"/>
      <c r="P8" s="219">
        <f t="shared" si="1"/>
        <v>1750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13.5" customHeight="1">
      <c r="A9" s="166">
        <v>7.0</v>
      </c>
      <c r="B9" s="214">
        <v>203.0</v>
      </c>
      <c r="C9" s="215" t="s">
        <v>165</v>
      </c>
      <c r="D9" s="216">
        <v>350.0</v>
      </c>
      <c r="E9" s="217">
        <v>350.0</v>
      </c>
      <c r="F9" s="217">
        <v>350.0</v>
      </c>
      <c r="G9" s="217">
        <v>350.0</v>
      </c>
      <c r="H9" s="217">
        <v>350.0</v>
      </c>
      <c r="I9" s="217"/>
      <c r="J9" s="217"/>
      <c r="K9" s="217"/>
      <c r="L9" s="217"/>
      <c r="M9" s="217"/>
      <c r="N9" s="217"/>
      <c r="O9" s="218"/>
      <c r="P9" s="219">
        <f t="shared" si="1"/>
        <v>1750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ht="13.5" customHeight="1">
      <c r="A10" s="166">
        <v>8.0</v>
      </c>
      <c r="B10" s="214">
        <v>204.0</v>
      </c>
      <c r="C10" s="215" t="s">
        <v>47</v>
      </c>
      <c r="D10" s="216">
        <v>350.0</v>
      </c>
      <c r="E10" s="217">
        <v>350.0</v>
      </c>
      <c r="F10" s="217"/>
      <c r="G10" s="217"/>
      <c r="H10" s="217"/>
      <c r="I10" s="217"/>
      <c r="J10" s="217"/>
      <c r="K10" s="217"/>
      <c r="L10" s="217"/>
      <c r="M10" s="217"/>
      <c r="N10" s="217"/>
      <c r="O10" s="218"/>
      <c r="P10" s="219">
        <f t="shared" si="1"/>
        <v>700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ht="13.5" customHeight="1">
      <c r="A11" s="166">
        <v>9.0</v>
      </c>
      <c r="B11" s="214">
        <v>301.0</v>
      </c>
      <c r="C11" s="215" t="s">
        <v>166</v>
      </c>
      <c r="D11" s="216">
        <v>350.0</v>
      </c>
      <c r="E11" s="217">
        <v>350.0</v>
      </c>
      <c r="F11" s="217">
        <v>350.0</v>
      </c>
      <c r="G11" s="217">
        <v>350.0</v>
      </c>
      <c r="H11" s="217">
        <v>350.0</v>
      </c>
      <c r="I11" s="217">
        <v>350.0</v>
      </c>
      <c r="J11" s="217"/>
      <c r="K11" s="217"/>
      <c r="L11" s="217"/>
      <c r="M11" s="217"/>
      <c r="N11" s="217"/>
      <c r="O11" s="218"/>
      <c r="P11" s="219">
        <f t="shared" si="1"/>
        <v>2100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ht="13.5" customHeight="1">
      <c r="A12" s="166">
        <v>10.0</v>
      </c>
      <c r="B12" s="214">
        <v>302.0</v>
      </c>
      <c r="C12" s="215" t="s">
        <v>167</v>
      </c>
      <c r="D12" s="216">
        <v>350.0</v>
      </c>
      <c r="E12" s="217">
        <v>350.0</v>
      </c>
      <c r="F12" s="217">
        <v>350.0</v>
      </c>
      <c r="G12" s="217"/>
      <c r="H12" s="217"/>
      <c r="I12" s="217"/>
      <c r="J12" s="217"/>
      <c r="K12" s="217"/>
      <c r="L12" s="217"/>
      <c r="M12" s="217"/>
      <c r="N12" s="217"/>
      <c r="O12" s="218"/>
      <c r="P12" s="219">
        <f t="shared" si="1"/>
        <v>1050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ht="13.5" customHeight="1">
      <c r="A13" s="166">
        <v>11.0</v>
      </c>
      <c r="B13" s="214">
        <v>303.0</v>
      </c>
      <c r="C13" s="215" t="s">
        <v>168</v>
      </c>
      <c r="D13" s="216">
        <v>350.0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8"/>
      <c r="P13" s="219">
        <f t="shared" si="1"/>
        <v>350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ht="13.5" customHeight="1">
      <c r="A14" s="166">
        <v>12.0</v>
      </c>
      <c r="B14" s="214">
        <v>304.0</v>
      </c>
      <c r="C14" s="215" t="s">
        <v>74</v>
      </c>
      <c r="D14" s="216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8"/>
      <c r="P14" s="219">
        <f t="shared" si="1"/>
        <v>0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ht="13.5" customHeight="1">
      <c r="A15" s="166">
        <v>13.0</v>
      </c>
      <c r="B15" s="214">
        <v>401.0</v>
      </c>
      <c r="C15" s="215" t="s">
        <v>56</v>
      </c>
      <c r="D15" s="216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8"/>
      <c r="P15" s="219">
        <f t="shared" si="1"/>
        <v>0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ht="13.5" customHeight="1">
      <c r="A16" s="166">
        <v>14.0</v>
      </c>
      <c r="B16" s="214">
        <v>402.0</v>
      </c>
      <c r="C16" s="215" t="s">
        <v>169</v>
      </c>
      <c r="D16" s="216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8"/>
      <c r="P16" s="219">
        <f t="shared" si="1"/>
        <v>0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ht="13.5" customHeight="1">
      <c r="A17" s="166">
        <v>15.0</v>
      </c>
      <c r="B17" s="214">
        <v>403.0</v>
      </c>
      <c r="C17" s="215" t="s">
        <v>58</v>
      </c>
      <c r="D17" s="216">
        <v>350.0</v>
      </c>
      <c r="E17" s="217">
        <v>350.0</v>
      </c>
      <c r="F17" s="217">
        <v>350.0</v>
      </c>
      <c r="G17" s="217">
        <v>350.0</v>
      </c>
      <c r="H17" s="217">
        <v>350.0</v>
      </c>
      <c r="I17" s="217"/>
      <c r="J17" s="217"/>
      <c r="K17" s="217"/>
      <c r="L17" s="217"/>
      <c r="M17" s="217"/>
      <c r="N17" s="217"/>
      <c r="O17" s="218"/>
      <c r="P17" s="219">
        <f t="shared" si="1"/>
        <v>1750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ht="13.5" customHeight="1">
      <c r="A18" s="166">
        <v>16.0</v>
      </c>
      <c r="B18" s="214">
        <v>404.0</v>
      </c>
      <c r="C18" s="220" t="s">
        <v>170</v>
      </c>
      <c r="D18" s="221" t="s">
        <v>200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22"/>
      <c r="P18" s="219">
        <f t="shared" si="1"/>
        <v>0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13.5" customHeight="1">
      <c r="A19" s="166">
        <v>17.0</v>
      </c>
      <c r="B19" s="214">
        <v>501.0</v>
      </c>
      <c r="C19" s="215" t="s">
        <v>171</v>
      </c>
      <c r="D19" s="216">
        <v>350.0</v>
      </c>
      <c r="E19" s="217">
        <v>350.0</v>
      </c>
      <c r="F19" s="217">
        <v>350.0</v>
      </c>
      <c r="G19" s="217">
        <v>350.0</v>
      </c>
      <c r="H19" s="217">
        <v>350.0</v>
      </c>
      <c r="I19" s="217"/>
      <c r="J19" s="217"/>
      <c r="K19" s="217"/>
      <c r="L19" s="217"/>
      <c r="M19" s="217"/>
      <c r="N19" s="217"/>
      <c r="O19" s="218"/>
      <c r="P19" s="219">
        <f t="shared" si="1"/>
        <v>1750</v>
      </c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ht="13.5" customHeight="1">
      <c r="A20" s="166">
        <v>18.0</v>
      </c>
      <c r="B20" s="214">
        <v>502.0</v>
      </c>
      <c r="C20" s="215" t="s">
        <v>62</v>
      </c>
      <c r="D20" s="216">
        <v>350.0</v>
      </c>
      <c r="E20" s="217">
        <v>350.0</v>
      </c>
      <c r="F20" s="217">
        <v>350.0</v>
      </c>
      <c r="G20" s="217">
        <v>350.0</v>
      </c>
      <c r="H20" s="217">
        <v>350.0</v>
      </c>
      <c r="I20" s="223"/>
      <c r="J20" s="217"/>
      <c r="K20" s="217"/>
      <c r="L20" s="217"/>
      <c r="M20" s="217"/>
      <c r="N20" s="217"/>
      <c r="O20" s="218"/>
      <c r="P20" s="219">
        <f t="shared" si="1"/>
        <v>1750</v>
      </c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ht="13.5" customHeight="1">
      <c r="A21" s="166">
        <v>19.0</v>
      </c>
      <c r="B21" s="214">
        <v>503.0</v>
      </c>
      <c r="C21" s="215" t="s">
        <v>51</v>
      </c>
      <c r="D21" s="216">
        <v>350.0</v>
      </c>
      <c r="E21" s="217">
        <v>350.0</v>
      </c>
      <c r="F21" s="217">
        <v>350.0</v>
      </c>
      <c r="G21" s="217">
        <v>350.0</v>
      </c>
      <c r="H21" s="217"/>
      <c r="I21" s="217"/>
      <c r="J21" s="217"/>
      <c r="K21" s="217"/>
      <c r="L21" s="217"/>
      <c r="M21" s="217"/>
      <c r="N21" s="217"/>
      <c r="O21" s="218"/>
      <c r="P21" s="219">
        <f t="shared" si="1"/>
        <v>1400</v>
      </c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ht="13.5" customHeight="1">
      <c r="A22" s="166">
        <v>20.0</v>
      </c>
      <c r="B22" s="214">
        <v>504.0</v>
      </c>
      <c r="C22" s="215" t="s">
        <v>85</v>
      </c>
      <c r="D22" s="221" t="s">
        <v>201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22"/>
      <c r="P22" s="219">
        <f t="shared" si="1"/>
        <v>0</v>
      </c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ht="13.5" customHeight="1">
      <c r="A23" s="166">
        <v>21.0</v>
      </c>
      <c r="B23" s="214">
        <v>601.0</v>
      </c>
      <c r="C23" s="215" t="s">
        <v>172</v>
      </c>
      <c r="D23" s="216">
        <v>350.0</v>
      </c>
      <c r="E23" s="217">
        <v>350.0</v>
      </c>
      <c r="F23" s="217">
        <v>350.0</v>
      </c>
      <c r="G23" s="217">
        <v>350.0</v>
      </c>
      <c r="H23" s="217">
        <v>350.0</v>
      </c>
      <c r="I23" s="217"/>
      <c r="J23" s="217"/>
      <c r="K23" s="217"/>
      <c r="L23" s="217"/>
      <c r="M23" s="217"/>
      <c r="N23" s="217"/>
      <c r="O23" s="218"/>
      <c r="P23" s="219">
        <f t="shared" si="1"/>
        <v>1750</v>
      </c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t="13.5" customHeight="1">
      <c r="A24" s="166">
        <v>22.0</v>
      </c>
      <c r="B24" s="214">
        <v>602.0</v>
      </c>
      <c r="C24" s="215" t="s">
        <v>60</v>
      </c>
      <c r="D24" s="216">
        <v>350.0</v>
      </c>
      <c r="E24" s="217">
        <v>350.0</v>
      </c>
      <c r="F24" s="217">
        <v>350.0</v>
      </c>
      <c r="G24" s="217">
        <v>350.0</v>
      </c>
      <c r="H24" s="217">
        <v>350.0</v>
      </c>
      <c r="I24" s="217"/>
      <c r="J24" s="217"/>
      <c r="K24" s="217"/>
      <c r="L24" s="217"/>
      <c r="M24" s="217"/>
      <c r="N24" s="217"/>
      <c r="O24" s="218"/>
      <c r="P24" s="219">
        <f t="shared" si="1"/>
        <v>1750</v>
      </c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ht="13.5" customHeight="1">
      <c r="A25" s="166">
        <v>23.0</v>
      </c>
      <c r="B25" s="214">
        <v>603.0</v>
      </c>
      <c r="C25" s="215" t="s">
        <v>47</v>
      </c>
      <c r="D25" s="216">
        <v>350.0</v>
      </c>
      <c r="E25" s="217">
        <v>350.0</v>
      </c>
      <c r="F25" s="217"/>
      <c r="G25" s="217"/>
      <c r="H25" s="217"/>
      <c r="I25" s="217"/>
      <c r="J25" s="217"/>
      <c r="K25" s="217"/>
      <c r="L25" s="217"/>
      <c r="M25" s="217"/>
      <c r="N25" s="217"/>
      <c r="O25" s="218"/>
      <c r="P25" s="219">
        <f t="shared" si="1"/>
        <v>700</v>
      </c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ht="13.5" customHeight="1">
      <c r="A26" s="166">
        <v>24.0</v>
      </c>
      <c r="B26" s="214">
        <v>604.0</v>
      </c>
      <c r="C26" s="215" t="s">
        <v>54</v>
      </c>
      <c r="D26" s="216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8"/>
      <c r="P26" s="219">
        <f t="shared" si="1"/>
        <v>0</v>
      </c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ht="13.5" customHeight="1">
      <c r="A27" s="166">
        <v>25.0</v>
      </c>
      <c r="B27" s="214">
        <v>701.0</v>
      </c>
      <c r="C27" s="215" t="s">
        <v>174</v>
      </c>
      <c r="D27" s="221" t="s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22"/>
      <c r="P27" s="219">
        <f t="shared" si="1"/>
        <v>0</v>
      </c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ht="13.5" customHeight="1">
      <c r="A28" s="166">
        <v>26.0</v>
      </c>
      <c r="B28" s="214">
        <v>702.0</v>
      </c>
      <c r="C28" s="215" t="s">
        <v>175</v>
      </c>
      <c r="D28" s="216">
        <v>350.0</v>
      </c>
      <c r="E28" s="217">
        <v>350.0</v>
      </c>
      <c r="F28" s="217">
        <v>350.0</v>
      </c>
      <c r="G28" s="217">
        <v>350.0</v>
      </c>
      <c r="H28" s="217">
        <v>350.0</v>
      </c>
      <c r="I28" s="217"/>
      <c r="J28" s="217"/>
      <c r="K28" s="217"/>
      <c r="L28" s="217"/>
      <c r="M28" s="217"/>
      <c r="N28" s="217"/>
      <c r="O28" s="218"/>
      <c r="P28" s="219">
        <f t="shared" si="1"/>
        <v>1750</v>
      </c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ht="13.5" customHeight="1">
      <c r="A29" s="166">
        <v>27.0</v>
      </c>
      <c r="B29" s="214">
        <v>703.0</v>
      </c>
      <c r="C29" s="215" t="s">
        <v>176</v>
      </c>
      <c r="D29" s="216">
        <v>350.0</v>
      </c>
      <c r="E29" s="217">
        <v>350.0</v>
      </c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>
        <f t="shared" si="1"/>
        <v>700</v>
      </c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ht="13.5" customHeight="1">
      <c r="A30" s="166">
        <v>28.0</v>
      </c>
      <c r="B30" s="214">
        <v>704.0</v>
      </c>
      <c r="C30" s="220" t="s">
        <v>177</v>
      </c>
      <c r="D30" s="221" t="s">
        <v>200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22"/>
      <c r="P30" s="219">
        <f t="shared" si="1"/>
        <v>0</v>
      </c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ht="13.5" customHeight="1">
      <c r="A31" s="166">
        <v>29.0</v>
      </c>
      <c r="B31" s="214">
        <v>801.0</v>
      </c>
      <c r="C31" s="215" t="s">
        <v>178</v>
      </c>
      <c r="D31" s="221" t="s">
        <v>200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222"/>
      <c r="P31" s="219">
        <f t="shared" si="1"/>
        <v>0</v>
      </c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ht="13.5" customHeight="1">
      <c r="A32" s="166">
        <v>30.0</v>
      </c>
      <c r="B32" s="214">
        <v>802.0</v>
      </c>
      <c r="C32" s="215" t="s">
        <v>75</v>
      </c>
      <c r="D32" s="221" t="s">
        <v>200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22"/>
      <c r="P32" s="219">
        <f t="shared" si="1"/>
        <v>0</v>
      </c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ht="13.5" customHeight="1">
      <c r="A33" s="166">
        <v>31.0</v>
      </c>
      <c r="B33" s="214">
        <v>803.0</v>
      </c>
      <c r="C33" s="215" t="s">
        <v>81</v>
      </c>
      <c r="D33" s="216">
        <v>350.0</v>
      </c>
      <c r="E33" s="217">
        <v>350.0</v>
      </c>
      <c r="F33" s="217"/>
      <c r="G33" s="217"/>
      <c r="H33" s="217"/>
      <c r="I33" s="217"/>
      <c r="J33" s="217"/>
      <c r="K33" s="217"/>
      <c r="L33" s="217"/>
      <c r="M33" s="217"/>
      <c r="N33" s="217"/>
      <c r="O33" s="218"/>
      <c r="P33" s="219">
        <f t="shared" si="1"/>
        <v>700</v>
      </c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ht="13.5" customHeight="1">
      <c r="A34" s="166">
        <v>32.0</v>
      </c>
      <c r="B34" s="214">
        <v>804.0</v>
      </c>
      <c r="C34" s="215" t="s">
        <v>179</v>
      </c>
      <c r="D34" s="216">
        <v>350.0</v>
      </c>
      <c r="E34" s="217">
        <v>350.0</v>
      </c>
      <c r="F34" s="217">
        <v>350.0</v>
      </c>
      <c r="G34" s="217">
        <v>350.0</v>
      </c>
      <c r="H34" s="217"/>
      <c r="I34" s="217"/>
      <c r="J34" s="217"/>
      <c r="K34" s="217"/>
      <c r="L34" s="217"/>
      <c r="M34" s="217"/>
      <c r="N34" s="217"/>
      <c r="O34" s="218"/>
      <c r="P34" s="219">
        <f t="shared" si="1"/>
        <v>1400</v>
      </c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ht="13.5" customHeight="1">
      <c r="A35" s="166">
        <v>33.0</v>
      </c>
      <c r="B35" s="214">
        <v>901.0</v>
      </c>
      <c r="C35" s="215" t="s">
        <v>180</v>
      </c>
      <c r="D35" s="216">
        <v>350.0</v>
      </c>
      <c r="E35" s="217">
        <v>350.0</v>
      </c>
      <c r="F35" s="217"/>
      <c r="G35" s="217"/>
      <c r="H35" s="217"/>
      <c r="I35" s="217"/>
      <c r="J35" s="217"/>
      <c r="K35" s="217"/>
      <c r="L35" s="217"/>
      <c r="M35" s="217"/>
      <c r="N35" s="217"/>
      <c r="O35" s="218"/>
      <c r="P35" s="219">
        <f t="shared" si="1"/>
        <v>700</v>
      </c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ht="13.5" customHeight="1">
      <c r="A36" s="166">
        <v>34.0</v>
      </c>
      <c r="B36" s="214">
        <v>902.0</v>
      </c>
      <c r="C36" s="215" t="s">
        <v>83</v>
      </c>
      <c r="D36" s="216">
        <v>350.0</v>
      </c>
      <c r="E36" s="217">
        <v>350.0</v>
      </c>
      <c r="F36" s="217">
        <v>350.0</v>
      </c>
      <c r="G36" s="217">
        <v>350.0</v>
      </c>
      <c r="H36" s="217">
        <v>350.0</v>
      </c>
      <c r="I36" s="217"/>
      <c r="J36" s="217"/>
      <c r="K36" s="217"/>
      <c r="L36" s="217"/>
      <c r="M36" s="217"/>
      <c r="N36" s="217"/>
      <c r="O36" s="218"/>
      <c r="P36" s="219">
        <f t="shared" si="1"/>
        <v>1750</v>
      </c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ht="13.5" customHeight="1">
      <c r="A37" s="166">
        <v>35.0</v>
      </c>
      <c r="B37" s="214">
        <v>903.0</v>
      </c>
      <c r="C37" s="215" t="s">
        <v>67</v>
      </c>
      <c r="D37" s="216">
        <v>350.0</v>
      </c>
      <c r="E37" s="217">
        <v>350.0</v>
      </c>
      <c r="F37" s="217">
        <v>300.0</v>
      </c>
      <c r="G37" s="217"/>
      <c r="H37" s="217"/>
      <c r="I37" s="217"/>
      <c r="J37" s="217"/>
      <c r="K37" s="217"/>
      <c r="L37" s="217"/>
      <c r="M37" s="217"/>
      <c r="N37" s="217"/>
      <c r="O37" s="218"/>
      <c r="P37" s="219">
        <f t="shared" si="1"/>
        <v>1000</v>
      </c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ht="13.5" customHeight="1">
      <c r="A38" s="166">
        <v>36.0</v>
      </c>
      <c r="B38" s="214">
        <v>904.0</v>
      </c>
      <c r="C38" s="215" t="s">
        <v>45</v>
      </c>
      <c r="D38" s="216">
        <v>350.0</v>
      </c>
      <c r="E38" s="217">
        <v>350.0</v>
      </c>
      <c r="F38" s="217">
        <v>350.0</v>
      </c>
      <c r="G38" s="217">
        <v>350.0</v>
      </c>
      <c r="H38" s="217">
        <v>350.0</v>
      </c>
      <c r="I38" s="217"/>
      <c r="J38" s="217"/>
      <c r="K38" s="217"/>
      <c r="L38" s="217"/>
      <c r="M38" s="217"/>
      <c r="N38" s="217"/>
      <c r="O38" s="218"/>
      <c r="P38" s="219">
        <f t="shared" si="1"/>
        <v>1750</v>
      </c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ht="13.5" customHeight="1">
      <c r="A39" s="166">
        <v>37.0</v>
      </c>
      <c r="B39" s="214">
        <v>1001.0</v>
      </c>
      <c r="C39" s="215" t="s">
        <v>181</v>
      </c>
      <c r="D39" s="216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8"/>
      <c r="P39" s="219">
        <f t="shared" si="1"/>
        <v>0</v>
      </c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ht="13.5" customHeight="1">
      <c r="A40" s="166">
        <v>38.0</v>
      </c>
      <c r="B40" s="214">
        <v>1002.0</v>
      </c>
      <c r="C40" s="215" t="s">
        <v>182</v>
      </c>
      <c r="D40" s="224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8"/>
      <c r="P40" s="219">
        <f t="shared" si="1"/>
        <v>0</v>
      </c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ht="13.5" customHeight="1">
      <c r="A41" s="166">
        <v>39.0</v>
      </c>
      <c r="B41" s="214">
        <v>1003.0</v>
      </c>
      <c r="C41" s="215" t="s">
        <v>183</v>
      </c>
      <c r="D41" s="216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8"/>
      <c r="P41" s="219">
        <f t="shared" si="1"/>
        <v>0</v>
      </c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ht="13.5" customHeight="1">
      <c r="A42" s="182">
        <v>40.0</v>
      </c>
      <c r="B42" s="225">
        <v>1004.0</v>
      </c>
      <c r="C42" s="226" t="s">
        <v>59</v>
      </c>
      <c r="D42" s="221" t="s">
        <v>200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22"/>
      <c r="P42" s="227">
        <f t="shared" si="1"/>
        <v>0</v>
      </c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ht="13.5" customHeight="1">
      <c r="A43" s="165"/>
      <c r="B43" s="165"/>
      <c r="C43" s="165"/>
      <c r="D43" s="228">
        <f t="shared" ref="D43:O43" si="2">SUM(D3:D42)</f>
        <v>8400</v>
      </c>
      <c r="E43" s="229">
        <f t="shared" si="2"/>
        <v>8050</v>
      </c>
      <c r="F43" s="229">
        <f t="shared" si="2"/>
        <v>6250</v>
      </c>
      <c r="G43" s="229">
        <f t="shared" si="2"/>
        <v>5600</v>
      </c>
      <c r="H43" s="229">
        <f t="shared" si="2"/>
        <v>4200</v>
      </c>
      <c r="I43" s="229">
        <f t="shared" si="2"/>
        <v>350</v>
      </c>
      <c r="J43" s="229">
        <f t="shared" si="2"/>
        <v>0</v>
      </c>
      <c r="K43" s="229">
        <f t="shared" si="2"/>
        <v>0</v>
      </c>
      <c r="L43" s="229">
        <f t="shared" si="2"/>
        <v>0</v>
      </c>
      <c r="M43" s="229">
        <f t="shared" si="2"/>
        <v>0</v>
      </c>
      <c r="N43" s="229">
        <f t="shared" si="2"/>
        <v>0</v>
      </c>
      <c r="O43" s="230">
        <f t="shared" si="2"/>
        <v>0</v>
      </c>
      <c r="P43" s="231">
        <f t="shared" si="1"/>
        <v>32850</v>
      </c>
      <c r="Q43" s="165"/>
      <c r="R43" s="196"/>
      <c r="S43" s="196"/>
      <c r="T43" s="196"/>
      <c r="U43" s="196"/>
      <c r="V43" s="196"/>
      <c r="W43" s="196"/>
      <c r="X43" s="196"/>
      <c r="Y43" s="196"/>
      <c r="Z43" s="196"/>
    </row>
    <row r="44" ht="13.5" customHeight="1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232"/>
      <c r="Q44" s="165"/>
      <c r="R44" s="196"/>
      <c r="S44" s="196"/>
      <c r="T44" s="196"/>
      <c r="U44" s="196"/>
      <c r="V44" s="196"/>
      <c r="W44" s="196"/>
      <c r="X44" s="196"/>
      <c r="Y44" s="196"/>
      <c r="Z44" s="196"/>
    </row>
    <row r="45" ht="13.5" customHeight="1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232"/>
      <c r="Q45" s="165"/>
      <c r="R45" s="196"/>
      <c r="S45" s="196"/>
      <c r="T45" s="196"/>
      <c r="U45" s="196"/>
      <c r="V45" s="196"/>
      <c r="W45" s="196"/>
      <c r="X45" s="196"/>
      <c r="Y45" s="196"/>
      <c r="Z45" s="196"/>
    </row>
    <row r="46" ht="13.5" customHeight="1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232"/>
      <c r="Q46" s="165"/>
      <c r="R46" s="196"/>
      <c r="S46" s="196"/>
      <c r="T46" s="196"/>
      <c r="U46" s="196"/>
      <c r="V46" s="196"/>
      <c r="W46" s="196"/>
      <c r="X46" s="196"/>
      <c r="Y46" s="196"/>
      <c r="Z46" s="196"/>
    </row>
    <row r="47" ht="13.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232"/>
      <c r="Q47" s="165"/>
      <c r="R47" s="196"/>
      <c r="S47" s="196"/>
      <c r="T47" s="196"/>
      <c r="U47" s="196"/>
      <c r="V47" s="196"/>
      <c r="W47" s="196"/>
      <c r="X47" s="196"/>
      <c r="Y47" s="196"/>
      <c r="Z47" s="196"/>
    </row>
    <row r="48" ht="13.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232"/>
      <c r="Q48" s="165"/>
      <c r="R48" s="196"/>
      <c r="S48" s="196"/>
      <c r="T48" s="196"/>
      <c r="U48" s="196"/>
      <c r="V48" s="196"/>
      <c r="W48" s="196"/>
      <c r="X48" s="196"/>
      <c r="Y48" s="196"/>
      <c r="Z48" s="196"/>
    </row>
    <row r="49" ht="15.7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33"/>
      <c r="Q49" s="200"/>
    </row>
    <row r="50" ht="15.7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33"/>
      <c r="Q50" s="200"/>
    </row>
    <row r="51" ht="15.7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33"/>
      <c r="Q51" s="200"/>
    </row>
    <row r="52" ht="15.7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33"/>
      <c r="Q52" s="200"/>
    </row>
    <row r="53" ht="15.7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33"/>
      <c r="Q53" s="200"/>
    </row>
    <row r="54" ht="15.7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33"/>
      <c r="Q54" s="200"/>
    </row>
    <row r="55" ht="15.7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33"/>
      <c r="Q55" s="200"/>
    </row>
    <row r="56" ht="15.7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33"/>
      <c r="Q56" s="200"/>
    </row>
    <row r="57" ht="15.7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33"/>
      <c r="Q57" s="200"/>
    </row>
    <row r="58" ht="15.7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33"/>
      <c r="Q58" s="200"/>
    </row>
    <row r="59" ht="15.7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33"/>
      <c r="Q59" s="200"/>
    </row>
    <row r="60" ht="15.7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33"/>
      <c r="Q60" s="200"/>
    </row>
    <row r="61" ht="15.7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33"/>
      <c r="Q61" s="200"/>
    </row>
    <row r="62" ht="15.7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33"/>
      <c r="Q62" s="200"/>
    </row>
    <row r="63" ht="15.7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33"/>
      <c r="Q63" s="200"/>
    </row>
    <row r="64" ht="15.7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33"/>
      <c r="Q64" s="200"/>
    </row>
    <row r="65" ht="15.7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33"/>
      <c r="Q65" s="200"/>
    </row>
    <row r="66" ht="15.7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33"/>
      <c r="Q66" s="200"/>
    </row>
    <row r="67" ht="15.7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33"/>
      <c r="Q67" s="200"/>
    </row>
    <row r="68" ht="15.7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33"/>
      <c r="Q68" s="200"/>
    </row>
    <row r="69" ht="15.7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33"/>
      <c r="Q69" s="200"/>
    </row>
    <row r="70" ht="15.7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33"/>
      <c r="Q70" s="200"/>
    </row>
    <row r="71" ht="15.7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33"/>
      <c r="Q71" s="200"/>
    </row>
    <row r="72" ht="15.7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33"/>
      <c r="Q72" s="200"/>
    </row>
    <row r="73" ht="15.7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33"/>
      <c r="Q73" s="200"/>
    </row>
    <row r="74" ht="15.7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33"/>
      <c r="Q74" s="200"/>
    </row>
    <row r="75" ht="15.7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33"/>
      <c r="Q75" s="200"/>
    </row>
    <row r="76" ht="15.7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33"/>
      <c r="Q76" s="200"/>
    </row>
    <row r="77" ht="15.7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33"/>
      <c r="Q77" s="200"/>
    </row>
    <row r="78" ht="15.7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33"/>
      <c r="Q78" s="200"/>
    </row>
    <row r="79" ht="15.7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33"/>
      <c r="Q79" s="200"/>
    </row>
    <row r="80" ht="15.7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33"/>
      <c r="Q80" s="200"/>
    </row>
    <row r="81" ht="15.7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33"/>
      <c r="Q81" s="200"/>
    </row>
    <row r="82" ht="15.7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33"/>
      <c r="Q82" s="200"/>
    </row>
    <row r="83" ht="15.7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33"/>
      <c r="Q83" s="200"/>
    </row>
    <row r="84" ht="15.7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33"/>
      <c r="Q84" s="200"/>
    </row>
    <row r="85" ht="15.7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33"/>
      <c r="Q85" s="200"/>
    </row>
    <row r="86" ht="15.7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33"/>
      <c r="Q86" s="200"/>
    </row>
    <row r="87" ht="15.7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33"/>
      <c r="Q87" s="200"/>
    </row>
    <row r="88" ht="15.7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33"/>
      <c r="Q88" s="200"/>
    </row>
    <row r="89" ht="15.7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33"/>
      <c r="Q89" s="200"/>
    </row>
    <row r="90" ht="15.7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33"/>
      <c r="Q90" s="200"/>
    </row>
    <row r="91" ht="15.7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33"/>
      <c r="Q91" s="200"/>
    </row>
    <row r="92" ht="15.7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33"/>
      <c r="Q92" s="200"/>
    </row>
    <row r="93" ht="15.7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33"/>
      <c r="Q93" s="200"/>
    </row>
    <row r="94" ht="15.7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33"/>
      <c r="Q94" s="200"/>
    </row>
    <row r="95" ht="15.7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33"/>
      <c r="Q95" s="200"/>
    </row>
    <row r="96" ht="15.7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33"/>
      <c r="Q96" s="200"/>
    </row>
    <row r="97" ht="15.7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33"/>
      <c r="Q97" s="200"/>
    </row>
    <row r="98" ht="15.7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33"/>
      <c r="Q98" s="200"/>
    </row>
    <row r="99" ht="15.7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33"/>
      <c r="Q99" s="200"/>
    </row>
    <row r="100" ht="15.7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33"/>
      <c r="Q100" s="200"/>
    </row>
    <row r="101" ht="15.7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33"/>
      <c r="Q101" s="200"/>
    </row>
    <row r="102" ht="15.7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33"/>
      <c r="Q102" s="200"/>
    </row>
    <row r="103" ht="15.7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33"/>
      <c r="Q103" s="200"/>
    </row>
    <row r="104" ht="15.7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33"/>
      <c r="Q104" s="200"/>
    </row>
    <row r="105" ht="15.7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33"/>
      <c r="Q105" s="200"/>
    </row>
    <row r="106" ht="15.7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33"/>
      <c r="Q106" s="200"/>
    </row>
    <row r="107" ht="15.7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33"/>
      <c r="Q107" s="200"/>
    </row>
    <row r="108" ht="15.7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33"/>
      <c r="Q108" s="200"/>
    </row>
    <row r="109" ht="15.7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33"/>
      <c r="Q109" s="200"/>
    </row>
    <row r="110" ht="15.7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33"/>
      <c r="Q110" s="200"/>
    </row>
    <row r="111" ht="15.7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33"/>
      <c r="Q111" s="200"/>
    </row>
    <row r="112" ht="15.7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33"/>
      <c r="Q112" s="200"/>
    </row>
    <row r="113" ht="15.7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33"/>
      <c r="Q113" s="200"/>
    </row>
    <row r="114" ht="15.7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33"/>
      <c r="Q114" s="200"/>
    </row>
    <row r="115" ht="15.7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33"/>
      <c r="Q115" s="200"/>
    </row>
    <row r="116" ht="15.7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33"/>
      <c r="Q116" s="200"/>
    </row>
    <row r="117" ht="15.7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33"/>
      <c r="Q117" s="200"/>
    </row>
    <row r="118" ht="15.7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33"/>
      <c r="Q118" s="200"/>
    </row>
    <row r="119" ht="15.7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33"/>
      <c r="Q119" s="200"/>
    </row>
    <row r="120" ht="15.7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33"/>
      <c r="Q120" s="200"/>
    </row>
    <row r="121" ht="15.7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33"/>
      <c r="Q121" s="200"/>
    </row>
    <row r="122" ht="15.7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33"/>
      <c r="Q122" s="200"/>
    </row>
    <row r="123" ht="15.7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33"/>
      <c r="Q123" s="200"/>
    </row>
    <row r="124" ht="15.7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33"/>
      <c r="Q124" s="200"/>
    </row>
    <row r="125" ht="15.7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33"/>
      <c r="Q125" s="200"/>
    </row>
    <row r="126" ht="15.7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33"/>
      <c r="Q126" s="200"/>
    </row>
    <row r="127" ht="15.7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33"/>
      <c r="Q127" s="200"/>
    </row>
    <row r="128" ht="15.7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33"/>
      <c r="Q128" s="200"/>
    </row>
    <row r="129" ht="15.7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33"/>
      <c r="Q129" s="200"/>
    </row>
    <row r="130" ht="15.7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33"/>
      <c r="Q130" s="200"/>
    </row>
    <row r="131" ht="15.7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33"/>
      <c r="Q131" s="200"/>
    </row>
    <row r="132" ht="15.7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33"/>
      <c r="Q132" s="200"/>
    </row>
    <row r="133" ht="15.7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33"/>
      <c r="Q133" s="200"/>
    </row>
    <row r="134" ht="15.7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33"/>
      <c r="Q134" s="200"/>
    </row>
    <row r="135" ht="15.7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33"/>
      <c r="Q135" s="200"/>
    </row>
    <row r="136" ht="15.7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33"/>
      <c r="Q136" s="200"/>
    </row>
    <row r="137" ht="15.7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33"/>
      <c r="Q137" s="200"/>
    </row>
    <row r="138" ht="15.7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33"/>
      <c r="Q138" s="200"/>
    </row>
    <row r="139" ht="15.7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33"/>
      <c r="Q139" s="200"/>
    </row>
    <row r="140" ht="15.7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33"/>
      <c r="Q140" s="200"/>
    </row>
    <row r="141" ht="15.7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33"/>
      <c r="Q141" s="200"/>
    </row>
    <row r="142" ht="15.7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33"/>
      <c r="Q142" s="200"/>
    </row>
    <row r="143" ht="15.7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33"/>
      <c r="Q143" s="200"/>
    </row>
    <row r="144" ht="15.7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33"/>
      <c r="Q144" s="200"/>
    </row>
    <row r="145" ht="15.7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33"/>
      <c r="Q145" s="200"/>
    </row>
    <row r="146" ht="15.7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33"/>
      <c r="Q146" s="200"/>
    </row>
    <row r="147" ht="15.7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33"/>
      <c r="Q147" s="200"/>
    </row>
    <row r="148" ht="15.7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33"/>
      <c r="Q148" s="200"/>
    </row>
    <row r="149" ht="15.7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33"/>
      <c r="Q149" s="200"/>
    </row>
    <row r="150" ht="15.7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33"/>
      <c r="Q150" s="200"/>
    </row>
    <row r="151" ht="15.7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33"/>
      <c r="Q151" s="200"/>
    </row>
    <row r="152" ht="15.7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33"/>
      <c r="Q152" s="200"/>
    </row>
    <row r="153" ht="15.7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33"/>
      <c r="Q153" s="200"/>
    </row>
    <row r="154" ht="15.7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33"/>
      <c r="Q154" s="200"/>
    </row>
    <row r="155" ht="15.7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33"/>
      <c r="Q155" s="200"/>
    </row>
    <row r="156" ht="15.7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33"/>
      <c r="Q156" s="200"/>
    </row>
    <row r="157" ht="15.7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33"/>
      <c r="Q157" s="200"/>
    </row>
    <row r="158" ht="15.7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33"/>
      <c r="Q158" s="200"/>
    </row>
    <row r="159" ht="15.7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33"/>
      <c r="Q159" s="200"/>
    </row>
    <row r="160" ht="15.7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33"/>
      <c r="Q160" s="200"/>
    </row>
    <row r="161" ht="15.7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33"/>
      <c r="Q161" s="200"/>
    </row>
    <row r="162" ht="15.7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33"/>
      <c r="Q162" s="200"/>
    </row>
    <row r="163" ht="15.7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33"/>
      <c r="Q163" s="200"/>
    </row>
    <row r="164" ht="15.7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33"/>
      <c r="Q164" s="200"/>
    </row>
    <row r="165" ht="15.7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33"/>
      <c r="Q165" s="200"/>
    </row>
    <row r="166" ht="15.7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33"/>
      <c r="Q166" s="200"/>
    </row>
    <row r="167" ht="15.7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33"/>
      <c r="Q167" s="200"/>
    </row>
    <row r="168" ht="15.7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33"/>
      <c r="Q168" s="200"/>
    </row>
    <row r="169" ht="15.7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33"/>
      <c r="Q169" s="200"/>
    </row>
    <row r="170" ht="15.7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33"/>
      <c r="Q170" s="200"/>
    </row>
    <row r="171" ht="15.7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33"/>
      <c r="Q171" s="200"/>
    </row>
    <row r="172" ht="15.7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33"/>
      <c r="Q172" s="200"/>
    </row>
    <row r="173" ht="15.7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33"/>
      <c r="Q173" s="200"/>
    </row>
    <row r="174" ht="15.7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33"/>
      <c r="Q174" s="200"/>
    </row>
    <row r="175" ht="15.7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33"/>
      <c r="Q175" s="200"/>
    </row>
    <row r="176" ht="15.7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33"/>
      <c r="Q176" s="200"/>
    </row>
    <row r="177" ht="15.7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33"/>
      <c r="Q177" s="200"/>
    </row>
    <row r="178" ht="15.7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33"/>
      <c r="Q178" s="200"/>
    </row>
    <row r="179" ht="15.7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33"/>
      <c r="Q179" s="200"/>
    </row>
    <row r="180" ht="15.7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33"/>
      <c r="Q180" s="200"/>
    </row>
    <row r="181" ht="15.7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33"/>
      <c r="Q181" s="200"/>
    </row>
    <row r="182" ht="15.7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33"/>
      <c r="Q182" s="200"/>
    </row>
    <row r="183" ht="15.7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33"/>
      <c r="Q183" s="200"/>
    </row>
    <row r="184" ht="15.7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33"/>
      <c r="Q184" s="200"/>
    </row>
    <row r="185" ht="15.7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33"/>
      <c r="Q185" s="200"/>
    </row>
    <row r="186" ht="15.7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33"/>
      <c r="Q186" s="200"/>
    </row>
    <row r="187" ht="15.7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33"/>
      <c r="Q187" s="200"/>
    </row>
    <row r="188" ht="15.7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33"/>
      <c r="Q188" s="200"/>
    </row>
    <row r="189" ht="15.7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33"/>
      <c r="Q189" s="200"/>
    </row>
    <row r="190" ht="15.7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33"/>
      <c r="Q190" s="200"/>
    </row>
    <row r="191" ht="15.7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33"/>
      <c r="Q191" s="200"/>
    </row>
    <row r="192" ht="15.7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33"/>
      <c r="Q192" s="200"/>
    </row>
    <row r="193" ht="15.7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33"/>
      <c r="Q193" s="200"/>
    </row>
    <row r="194" ht="15.7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33"/>
      <c r="Q194" s="200"/>
    </row>
    <row r="195" ht="15.7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33"/>
      <c r="Q195" s="200"/>
    </row>
    <row r="196" ht="15.7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33"/>
      <c r="Q196" s="200"/>
    </row>
    <row r="197" ht="15.7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33"/>
      <c r="Q197" s="200"/>
    </row>
    <row r="198" ht="15.7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33"/>
      <c r="Q198" s="200"/>
    </row>
    <row r="199" ht="15.7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33"/>
      <c r="Q199" s="200"/>
    </row>
    <row r="200" ht="15.7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33"/>
      <c r="Q200" s="200"/>
    </row>
    <row r="201" ht="15.7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33"/>
      <c r="Q201" s="200"/>
    </row>
    <row r="202" ht="15.7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33"/>
      <c r="Q202" s="200"/>
    </row>
    <row r="203" ht="15.7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33"/>
      <c r="Q203" s="200"/>
    </row>
    <row r="204" ht="15.7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33"/>
      <c r="Q204" s="200"/>
    </row>
    <row r="205" ht="15.7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33"/>
      <c r="Q205" s="200"/>
    </row>
    <row r="206" ht="15.7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33"/>
      <c r="Q206" s="200"/>
    </row>
    <row r="207" ht="15.7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33"/>
      <c r="Q207" s="200"/>
    </row>
    <row r="208" ht="15.7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33"/>
      <c r="Q208" s="200"/>
    </row>
    <row r="209" ht="15.7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33"/>
      <c r="Q209" s="200"/>
    </row>
    <row r="210" ht="15.7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33"/>
      <c r="Q210" s="200"/>
    </row>
    <row r="211" ht="15.7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33"/>
      <c r="Q211" s="200"/>
    </row>
    <row r="212" ht="15.7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33"/>
      <c r="Q212" s="200"/>
    </row>
    <row r="213" ht="15.7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33"/>
      <c r="Q213" s="200"/>
    </row>
    <row r="214" ht="15.7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33"/>
      <c r="Q214" s="200"/>
    </row>
    <row r="215" ht="15.7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33"/>
      <c r="Q215" s="200"/>
    </row>
    <row r="216" ht="15.7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33"/>
      <c r="Q216" s="200"/>
    </row>
    <row r="217" ht="15.7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33"/>
      <c r="Q217" s="200"/>
    </row>
    <row r="218" ht="15.7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33"/>
      <c r="Q218" s="200"/>
    </row>
    <row r="219" ht="15.7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33"/>
      <c r="Q219" s="200"/>
    </row>
    <row r="220" ht="15.7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33"/>
      <c r="Q220" s="200"/>
    </row>
    <row r="221" ht="15.7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33"/>
      <c r="Q221" s="200"/>
    </row>
    <row r="222" ht="15.7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33"/>
      <c r="Q222" s="200"/>
    </row>
    <row r="223" ht="15.7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33"/>
      <c r="Q223" s="200"/>
    </row>
    <row r="224" ht="15.7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33"/>
      <c r="Q224" s="200"/>
    </row>
    <row r="225" ht="15.7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33"/>
      <c r="Q225" s="200"/>
    </row>
    <row r="226" ht="15.7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33"/>
      <c r="Q226" s="200"/>
    </row>
    <row r="227" ht="15.7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33"/>
      <c r="Q227" s="200"/>
    </row>
    <row r="228" ht="15.7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33"/>
      <c r="Q228" s="200"/>
    </row>
    <row r="229" ht="15.7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33"/>
      <c r="Q229" s="200"/>
    </row>
    <row r="230" ht="15.7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33"/>
      <c r="Q230" s="200"/>
    </row>
    <row r="231" ht="15.7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33"/>
      <c r="Q231" s="200"/>
    </row>
    <row r="232" ht="15.7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33"/>
      <c r="Q232" s="200"/>
    </row>
    <row r="233" ht="15.7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33"/>
      <c r="Q233" s="200"/>
    </row>
    <row r="234" ht="15.7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33"/>
      <c r="Q234" s="200"/>
    </row>
    <row r="235" ht="15.7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33"/>
      <c r="Q235" s="200"/>
    </row>
    <row r="236" ht="15.7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33"/>
      <c r="Q236" s="200"/>
    </row>
    <row r="237" ht="15.7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33"/>
      <c r="Q237" s="200"/>
    </row>
    <row r="238" ht="15.7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33"/>
      <c r="Q238" s="200"/>
    </row>
    <row r="239" ht="15.7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33"/>
      <c r="Q239" s="200"/>
    </row>
    <row r="240" ht="15.7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33"/>
      <c r="Q240" s="200"/>
    </row>
    <row r="241" ht="15.7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33"/>
      <c r="Q241" s="200"/>
    </row>
    <row r="242" ht="15.7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33"/>
      <c r="Q242" s="200"/>
    </row>
    <row r="243" ht="15.7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33"/>
      <c r="Q243" s="200"/>
    </row>
    <row r="244" ht="15.7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33"/>
      <c r="Q244" s="200"/>
    </row>
    <row r="245" ht="15.7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33"/>
      <c r="Q245" s="200"/>
    </row>
    <row r="246" ht="15.7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33"/>
      <c r="Q246" s="200"/>
    </row>
    <row r="247" ht="15.7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33"/>
      <c r="Q247" s="200"/>
    </row>
    <row r="248" ht="15.7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33"/>
      <c r="Q248" s="200"/>
    </row>
    <row r="249" ht="15.7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33"/>
      <c r="Q249" s="200"/>
    </row>
    <row r="250" ht="15.7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33"/>
      <c r="Q250" s="200"/>
    </row>
    <row r="251" ht="15.7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33"/>
      <c r="Q251" s="200"/>
    </row>
    <row r="252" ht="15.7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33"/>
      <c r="Q252" s="200"/>
    </row>
    <row r="253" ht="15.7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33"/>
      <c r="Q253" s="200"/>
    </row>
    <row r="254" ht="15.7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33"/>
      <c r="Q254" s="200"/>
    </row>
    <row r="255" ht="15.7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33"/>
      <c r="Q255" s="200"/>
    </row>
    <row r="256" ht="15.7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33"/>
      <c r="Q256" s="200"/>
    </row>
    <row r="257" ht="15.7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33"/>
      <c r="Q257" s="200"/>
    </row>
    <row r="258" ht="15.7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33"/>
      <c r="Q258" s="200"/>
    </row>
    <row r="259" ht="15.7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33"/>
      <c r="Q259" s="200"/>
    </row>
    <row r="260" ht="15.7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33"/>
      <c r="Q260" s="200"/>
    </row>
    <row r="261" ht="15.7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33"/>
      <c r="Q261" s="200"/>
    </row>
    <row r="262" ht="15.7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33"/>
      <c r="Q262" s="200"/>
    </row>
    <row r="263" ht="15.7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33"/>
      <c r="Q263" s="200"/>
    </row>
    <row r="264" ht="15.7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33"/>
      <c r="Q264" s="200"/>
    </row>
    <row r="265" ht="15.7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33"/>
      <c r="Q265" s="200"/>
    </row>
    <row r="266" ht="15.7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33"/>
      <c r="Q266" s="200"/>
    </row>
    <row r="267" ht="15.7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33"/>
      <c r="Q267" s="200"/>
    </row>
    <row r="268" ht="15.7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33"/>
      <c r="Q268" s="200"/>
    </row>
    <row r="269" ht="15.7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33"/>
      <c r="Q269" s="200"/>
    </row>
    <row r="270" ht="15.7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33"/>
      <c r="Q270" s="200"/>
    </row>
    <row r="271" ht="15.7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33"/>
      <c r="Q271" s="200"/>
    </row>
    <row r="272" ht="15.7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33"/>
      <c r="Q272" s="200"/>
    </row>
    <row r="273" ht="15.7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33"/>
      <c r="Q273" s="200"/>
    </row>
    <row r="274" ht="15.7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33"/>
      <c r="Q274" s="200"/>
    </row>
    <row r="275" ht="15.7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33"/>
      <c r="Q275" s="200"/>
    </row>
    <row r="276" ht="15.7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33"/>
      <c r="Q276" s="200"/>
    </row>
    <row r="277" ht="15.7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33"/>
      <c r="Q277" s="200"/>
    </row>
    <row r="278" ht="15.7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33"/>
      <c r="Q278" s="200"/>
    </row>
    <row r="279" ht="15.7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33"/>
      <c r="Q279" s="200"/>
    </row>
    <row r="280" ht="15.7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33"/>
      <c r="Q280" s="200"/>
    </row>
    <row r="281" ht="15.7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33"/>
      <c r="Q281" s="200"/>
    </row>
    <row r="282" ht="15.7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33"/>
      <c r="Q282" s="200"/>
    </row>
    <row r="283" ht="15.7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33"/>
      <c r="Q283" s="200"/>
    </row>
    <row r="284" ht="15.7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33"/>
      <c r="Q284" s="200"/>
    </row>
    <row r="285" ht="15.7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33"/>
      <c r="Q285" s="200"/>
    </row>
    <row r="286" ht="15.7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33"/>
      <c r="Q286" s="200"/>
    </row>
    <row r="287" ht="15.7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33"/>
      <c r="Q287" s="200"/>
    </row>
    <row r="288" ht="15.7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33"/>
      <c r="Q288" s="200"/>
    </row>
    <row r="289" ht="15.7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33"/>
      <c r="Q289" s="200"/>
    </row>
    <row r="290" ht="15.7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33"/>
      <c r="Q290" s="200"/>
    </row>
    <row r="291" ht="15.7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33"/>
      <c r="Q291" s="200"/>
    </row>
    <row r="292" ht="15.7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33"/>
      <c r="Q292" s="200"/>
    </row>
    <row r="293" ht="15.7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33"/>
      <c r="Q293" s="200"/>
    </row>
    <row r="294" ht="15.7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33"/>
      <c r="Q294" s="200"/>
    </row>
    <row r="295" ht="15.7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33"/>
      <c r="Q295" s="200"/>
    </row>
    <row r="296" ht="15.7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33"/>
      <c r="Q296" s="200"/>
    </row>
    <row r="297" ht="15.7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33"/>
      <c r="Q297" s="200"/>
    </row>
    <row r="298" ht="15.7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33"/>
      <c r="Q298" s="200"/>
    </row>
    <row r="299" ht="15.7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33"/>
      <c r="Q299" s="200"/>
    </row>
    <row r="300" ht="15.7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33"/>
      <c r="Q300" s="200"/>
    </row>
    <row r="301" ht="15.7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33"/>
      <c r="Q301" s="200"/>
    </row>
    <row r="302" ht="15.7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33"/>
      <c r="Q302" s="200"/>
    </row>
    <row r="303" ht="15.7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33"/>
      <c r="Q303" s="200"/>
    </row>
    <row r="304" ht="15.7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33"/>
      <c r="Q304" s="200"/>
    </row>
    <row r="305" ht="15.7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33"/>
      <c r="Q305" s="200"/>
    </row>
    <row r="306" ht="15.7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33"/>
      <c r="Q306" s="200"/>
    </row>
    <row r="307" ht="15.7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33"/>
      <c r="Q307" s="200"/>
    </row>
    <row r="308" ht="15.7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33"/>
      <c r="Q308" s="200"/>
    </row>
    <row r="309" ht="15.7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33"/>
      <c r="Q309" s="200"/>
    </row>
    <row r="310" ht="15.7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33"/>
      <c r="Q310" s="200"/>
    </row>
    <row r="311" ht="15.7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33"/>
      <c r="Q311" s="200"/>
    </row>
    <row r="312" ht="15.7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33"/>
      <c r="Q312" s="200"/>
    </row>
    <row r="313" ht="15.7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33"/>
      <c r="Q313" s="200"/>
    </row>
    <row r="314" ht="15.7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33"/>
      <c r="Q314" s="200"/>
    </row>
    <row r="315" ht="15.7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33"/>
      <c r="Q315" s="200"/>
    </row>
    <row r="316" ht="15.7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33"/>
      <c r="Q316" s="200"/>
    </row>
    <row r="317" ht="15.7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33"/>
      <c r="Q317" s="200"/>
    </row>
    <row r="318" ht="15.7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33"/>
      <c r="Q318" s="200"/>
    </row>
    <row r="319" ht="15.7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33"/>
      <c r="Q319" s="200"/>
    </row>
    <row r="320" ht="15.7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33"/>
      <c r="Q320" s="200"/>
    </row>
    <row r="321" ht="15.7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33"/>
      <c r="Q321" s="200"/>
    </row>
    <row r="322" ht="15.7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33"/>
      <c r="Q322" s="200"/>
    </row>
    <row r="323" ht="15.7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33"/>
      <c r="Q323" s="200"/>
    </row>
    <row r="324" ht="15.7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33"/>
      <c r="Q324" s="200"/>
    </row>
    <row r="325" ht="15.7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33"/>
      <c r="Q325" s="200"/>
    </row>
    <row r="326" ht="15.7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33"/>
      <c r="Q326" s="200"/>
    </row>
    <row r="327" ht="15.7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33"/>
      <c r="Q327" s="200"/>
    </row>
    <row r="328" ht="15.7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33"/>
      <c r="Q328" s="200"/>
    </row>
    <row r="329" ht="15.7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33"/>
      <c r="Q329" s="200"/>
    </row>
    <row r="330" ht="15.7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33"/>
      <c r="Q330" s="200"/>
    </row>
    <row r="331" ht="15.7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33"/>
      <c r="Q331" s="200"/>
    </row>
    <row r="332" ht="15.7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33"/>
      <c r="Q332" s="200"/>
    </row>
    <row r="333" ht="15.7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33"/>
      <c r="Q333" s="200"/>
    </row>
    <row r="334" ht="15.7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33"/>
      <c r="Q334" s="200"/>
    </row>
    <row r="335" ht="15.7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33"/>
      <c r="Q335" s="200"/>
    </row>
    <row r="336" ht="15.7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33"/>
      <c r="Q336" s="200"/>
    </row>
    <row r="337" ht="15.7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33"/>
      <c r="Q337" s="200"/>
    </row>
    <row r="338" ht="15.7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33"/>
      <c r="Q338" s="200"/>
    </row>
    <row r="339" ht="15.7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33"/>
      <c r="Q339" s="200"/>
    </row>
    <row r="340" ht="15.7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33"/>
      <c r="Q340" s="200"/>
    </row>
    <row r="341" ht="15.7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33"/>
      <c r="Q341" s="200"/>
    </row>
    <row r="342" ht="15.7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33"/>
      <c r="Q342" s="200"/>
    </row>
    <row r="343" ht="15.7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33"/>
      <c r="Q343" s="200"/>
    </row>
    <row r="344" ht="15.7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33"/>
      <c r="Q344" s="200"/>
    </row>
    <row r="345" ht="15.7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33"/>
      <c r="Q345" s="200"/>
    </row>
    <row r="346" ht="15.7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33"/>
      <c r="Q346" s="200"/>
    </row>
    <row r="347" ht="15.7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33"/>
      <c r="Q347" s="200"/>
    </row>
    <row r="348" ht="15.7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33"/>
      <c r="Q348" s="200"/>
    </row>
    <row r="349" ht="15.7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33"/>
      <c r="Q349" s="200"/>
    </row>
    <row r="350" ht="15.7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33"/>
      <c r="Q350" s="200"/>
    </row>
    <row r="351" ht="15.7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33"/>
      <c r="Q351" s="200"/>
    </row>
    <row r="352" ht="15.7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33"/>
      <c r="Q352" s="200"/>
    </row>
    <row r="353" ht="15.7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33"/>
      <c r="Q353" s="200"/>
    </row>
    <row r="354" ht="15.7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33"/>
      <c r="Q354" s="200"/>
    </row>
    <row r="355" ht="15.7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33"/>
      <c r="Q355" s="200"/>
    </row>
    <row r="356" ht="15.7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33"/>
      <c r="Q356" s="200"/>
    </row>
    <row r="357" ht="15.7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33"/>
      <c r="Q357" s="200"/>
    </row>
    <row r="358" ht="15.7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33"/>
      <c r="Q358" s="200"/>
    </row>
    <row r="359" ht="15.7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33"/>
      <c r="Q359" s="200"/>
    </row>
    <row r="360" ht="15.7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33"/>
      <c r="Q360" s="200"/>
    </row>
    <row r="361" ht="15.7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33"/>
      <c r="Q361" s="200"/>
    </row>
    <row r="362" ht="15.7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33"/>
      <c r="Q362" s="200"/>
    </row>
    <row r="363" ht="15.7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33"/>
      <c r="Q363" s="200"/>
    </row>
    <row r="364" ht="15.7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33"/>
      <c r="Q364" s="200"/>
    </row>
    <row r="365" ht="15.7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33"/>
      <c r="Q365" s="200"/>
    </row>
    <row r="366" ht="15.7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33"/>
      <c r="Q366" s="200"/>
    </row>
    <row r="367" ht="15.7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33"/>
      <c r="Q367" s="200"/>
    </row>
    <row r="368" ht="15.7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33"/>
      <c r="Q368" s="200"/>
    </row>
    <row r="369" ht="15.7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33"/>
      <c r="Q369" s="200"/>
    </row>
    <row r="370" ht="15.7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33"/>
      <c r="Q370" s="200"/>
    </row>
    <row r="371" ht="15.7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33"/>
      <c r="Q371" s="200"/>
    </row>
    <row r="372" ht="15.7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33"/>
      <c r="Q372" s="200"/>
    </row>
    <row r="373" ht="15.7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33"/>
      <c r="Q373" s="200"/>
    </row>
    <row r="374" ht="15.7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33"/>
      <c r="Q374" s="200"/>
    </row>
    <row r="375" ht="15.7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33"/>
      <c r="Q375" s="200"/>
    </row>
    <row r="376" ht="15.7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33"/>
      <c r="Q376" s="200"/>
    </row>
    <row r="377" ht="15.7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33"/>
      <c r="Q377" s="200"/>
    </row>
    <row r="378" ht="15.7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33"/>
      <c r="Q378" s="200"/>
    </row>
    <row r="379" ht="15.7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33"/>
      <c r="Q379" s="200"/>
    </row>
    <row r="380" ht="15.7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33"/>
      <c r="Q380" s="200"/>
    </row>
    <row r="381" ht="15.7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33"/>
      <c r="Q381" s="200"/>
    </row>
    <row r="382" ht="15.7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33"/>
      <c r="Q382" s="200"/>
    </row>
    <row r="383" ht="15.7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33"/>
      <c r="Q383" s="200"/>
    </row>
    <row r="384" ht="15.7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33"/>
      <c r="Q384" s="200"/>
    </row>
    <row r="385" ht="15.7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33"/>
      <c r="Q385" s="200"/>
    </row>
    <row r="386" ht="15.7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33"/>
      <c r="Q386" s="200"/>
    </row>
    <row r="387" ht="15.7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33"/>
      <c r="Q387" s="200"/>
    </row>
    <row r="388" ht="15.7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33"/>
      <c r="Q388" s="200"/>
    </row>
    <row r="389" ht="15.7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33"/>
      <c r="Q389" s="200"/>
    </row>
    <row r="390" ht="15.7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33"/>
      <c r="Q390" s="200"/>
    </row>
    <row r="391" ht="15.7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33"/>
      <c r="Q391" s="200"/>
    </row>
    <row r="392" ht="15.7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33"/>
      <c r="Q392" s="200"/>
    </row>
    <row r="393" ht="15.7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33"/>
      <c r="Q393" s="200"/>
    </row>
    <row r="394" ht="15.7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33"/>
      <c r="Q394" s="200"/>
    </row>
    <row r="395" ht="15.7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33"/>
      <c r="Q395" s="200"/>
    </row>
    <row r="396" ht="15.7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33"/>
      <c r="Q396" s="200"/>
    </row>
    <row r="397" ht="15.7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33"/>
      <c r="Q397" s="200"/>
    </row>
    <row r="398" ht="15.7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33"/>
      <c r="Q398" s="200"/>
    </row>
    <row r="399" ht="15.7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33"/>
      <c r="Q399" s="200"/>
    </row>
    <row r="400" ht="15.7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33"/>
      <c r="Q400" s="200"/>
    </row>
    <row r="401" ht="15.7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33"/>
      <c r="Q401" s="200"/>
    </row>
    <row r="402" ht="15.7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33"/>
      <c r="Q402" s="200"/>
    </row>
    <row r="403" ht="15.7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33"/>
      <c r="Q403" s="200"/>
    </row>
    <row r="404" ht="15.7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33"/>
      <c r="Q404" s="200"/>
    </row>
    <row r="405" ht="15.7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33"/>
      <c r="Q405" s="200"/>
    </row>
    <row r="406" ht="15.7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33"/>
      <c r="Q406" s="200"/>
    </row>
    <row r="407" ht="15.7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33"/>
      <c r="Q407" s="200"/>
    </row>
    <row r="408" ht="15.7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33"/>
      <c r="Q408" s="200"/>
    </row>
    <row r="409" ht="15.7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33"/>
      <c r="Q409" s="200"/>
    </row>
    <row r="410" ht="15.7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33"/>
      <c r="Q410" s="200"/>
    </row>
    <row r="411" ht="15.7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33"/>
      <c r="Q411" s="200"/>
    </row>
    <row r="412" ht="15.7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33"/>
      <c r="Q412" s="200"/>
    </row>
    <row r="413" ht="15.7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33"/>
      <c r="Q413" s="200"/>
    </row>
    <row r="414" ht="15.7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33"/>
      <c r="Q414" s="200"/>
    </row>
    <row r="415" ht="15.7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33"/>
      <c r="Q415" s="200"/>
    </row>
    <row r="416" ht="15.7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33"/>
      <c r="Q416" s="200"/>
    </row>
    <row r="417" ht="15.7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33"/>
      <c r="Q417" s="200"/>
    </row>
    <row r="418" ht="15.7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33"/>
      <c r="Q418" s="200"/>
    </row>
    <row r="419" ht="15.7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33"/>
      <c r="Q419" s="200"/>
    </row>
    <row r="420" ht="15.7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33"/>
      <c r="Q420" s="200"/>
    </row>
    <row r="421" ht="15.7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33"/>
      <c r="Q421" s="200"/>
    </row>
    <row r="422" ht="15.7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33"/>
      <c r="Q422" s="200"/>
    </row>
    <row r="423" ht="15.7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33"/>
      <c r="Q423" s="200"/>
    </row>
    <row r="424" ht="15.7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33"/>
      <c r="Q424" s="200"/>
    </row>
    <row r="425" ht="15.7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33"/>
      <c r="Q425" s="200"/>
    </row>
    <row r="426" ht="15.7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33"/>
      <c r="Q426" s="200"/>
    </row>
    <row r="427" ht="15.7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33"/>
      <c r="Q427" s="200"/>
    </row>
    <row r="428" ht="15.7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33"/>
      <c r="Q428" s="200"/>
    </row>
    <row r="429" ht="15.7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33"/>
      <c r="Q429" s="200"/>
    </row>
    <row r="430" ht="15.7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33"/>
      <c r="Q430" s="200"/>
    </row>
    <row r="431" ht="15.7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33"/>
      <c r="Q431" s="200"/>
    </row>
    <row r="432" ht="15.7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33"/>
      <c r="Q432" s="200"/>
    </row>
    <row r="433" ht="15.7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33"/>
      <c r="Q433" s="200"/>
    </row>
    <row r="434" ht="15.7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33"/>
      <c r="Q434" s="200"/>
    </row>
    <row r="435" ht="15.7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33"/>
      <c r="Q435" s="200"/>
    </row>
    <row r="436" ht="15.7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33"/>
      <c r="Q436" s="200"/>
    </row>
    <row r="437" ht="15.7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33"/>
      <c r="Q437" s="200"/>
    </row>
    <row r="438" ht="15.7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33"/>
      <c r="Q438" s="200"/>
    </row>
    <row r="439" ht="15.7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33"/>
      <c r="Q439" s="200"/>
    </row>
    <row r="440" ht="15.7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33"/>
      <c r="Q440" s="200"/>
    </row>
    <row r="441" ht="15.7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33"/>
      <c r="Q441" s="200"/>
    </row>
    <row r="442" ht="15.7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33"/>
      <c r="Q442" s="200"/>
    </row>
    <row r="443" ht="15.7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33"/>
      <c r="Q443" s="200"/>
    </row>
    <row r="444" ht="15.7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33"/>
      <c r="Q444" s="200"/>
    </row>
    <row r="445" ht="15.7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33"/>
      <c r="Q445" s="200"/>
    </row>
    <row r="446" ht="15.7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33"/>
      <c r="Q446" s="200"/>
    </row>
    <row r="447" ht="15.7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33"/>
      <c r="Q447" s="200"/>
    </row>
    <row r="448" ht="15.7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33"/>
      <c r="Q448" s="200"/>
    </row>
    <row r="449" ht="15.7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33"/>
      <c r="Q449" s="200"/>
    </row>
    <row r="450" ht="15.7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33"/>
      <c r="Q450" s="200"/>
    </row>
    <row r="451" ht="15.7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33"/>
      <c r="Q451" s="200"/>
    </row>
    <row r="452" ht="15.7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33"/>
      <c r="Q452" s="200"/>
    </row>
    <row r="453" ht="15.7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33"/>
      <c r="Q453" s="200"/>
    </row>
    <row r="454" ht="15.7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33"/>
      <c r="Q454" s="200"/>
    </row>
    <row r="455" ht="15.7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33"/>
      <c r="Q455" s="200"/>
    </row>
    <row r="456" ht="15.7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33"/>
      <c r="Q456" s="200"/>
    </row>
    <row r="457" ht="15.7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33"/>
      <c r="Q457" s="200"/>
    </row>
    <row r="458" ht="15.7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33"/>
      <c r="Q458" s="200"/>
    </row>
    <row r="459" ht="15.7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33"/>
      <c r="Q459" s="200"/>
    </row>
    <row r="460" ht="15.7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33"/>
      <c r="Q460" s="200"/>
    </row>
    <row r="461" ht="15.7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33"/>
      <c r="Q461" s="200"/>
    </row>
    <row r="462" ht="15.7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33"/>
      <c r="Q462" s="200"/>
    </row>
    <row r="463" ht="15.7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33"/>
      <c r="Q463" s="200"/>
    </row>
    <row r="464" ht="15.7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33"/>
      <c r="Q464" s="200"/>
    </row>
    <row r="465" ht="15.7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33"/>
      <c r="Q465" s="200"/>
    </row>
    <row r="466" ht="15.7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33"/>
      <c r="Q466" s="200"/>
    </row>
    <row r="467" ht="15.7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33"/>
      <c r="Q467" s="200"/>
    </row>
    <row r="468" ht="15.7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33"/>
      <c r="Q468" s="200"/>
    </row>
    <row r="469" ht="15.7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33"/>
      <c r="Q469" s="200"/>
    </row>
    <row r="470" ht="15.7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33"/>
      <c r="Q470" s="200"/>
    </row>
    <row r="471" ht="15.7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33"/>
      <c r="Q471" s="200"/>
    </row>
    <row r="472" ht="15.7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33"/>
      <c r="Q472" s="200"/>
    </row>
    <row r="473" ht="15.7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33"/>
      <c r="Q473" s="200"/>
    </row>
    <row r="474" ht="15.7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33"/>
      <c r="Q474" s="200"/>
    </row>
    <row r="475" ht="15.7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33"/>
      <c r="Q475" s="200"/>
    </row>
    <row r="476" ht="15.7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33"/>
      <c r="Q476" s="200"/>
    </row>
    <row r="477" ht="15.7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33"/>
      <c r="Q477" s="200"/>
    </row>
    <row r="478" ht="15.7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33"/>
      <c r="Q478" s="200"/>
    </row>
    <row r="479" ht="15.7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33"/>
      <c r="Q479" s="200"/>
    </row>
    <row r="480" ht="15.7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33"/>
      <c r="Q480" s="200"/>
    </row>
    <row r="481" ht="15.7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33"/>
      <c r="Q481" s="200"/>
    </row>
    <row r="482" ht="15.7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33"/>
      <c r="Q482" s="200"/>
    </row>
    <row r="483" ht="15.7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33"/>
      <c r="Q483" s="200"/>
    </row>
    <row r="484" ht="15.7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33"/>
      <c r="Q484" s="200"/>
    </row>
    <row r="485" ht="15.7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33"/>
      <c r="Q485" s="200"/>
    </row>
    <row r="486" ht="15.7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33"/>
      <c r="Q486" s="200"/>
    </row>
    <row r="487" ht="15.7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33"/>
      <c r="Q487" s="200"/>
    </row>
    <row r="488" ht="15.7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33"/>
      <c r="Q488" s="200"/>
    </row>
    <row r="489" ht="15.7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33"/>
      <c r="Q489" s="200"/>
    </row>
    <row r="490" ht="15.7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33"/>
      <c r="Q490" s="200"/>
    </row>
    <row r="491" ht="15.7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33"/>
      <c r="Q491" s="200"/>
    </row>
    <row r="492" ht="15.7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33"/>
      <c r="Q492" s="200"/>
    </row>
    <row r="493" ht="15.7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33"/>
      <c r="Q493" s="200"/>
    </row>
    <row r="494" ht="15.7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33"/>
      <c r="Q494" s="200"/>
    </row>
    <row r="495" ht="15.7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33"/>
      <c r="Q495" s="200"/>
    </row>
    <row r="496" ht="15.7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33"/>
      <c r="Q496" s="200"/>
    </row>
    <row r="497" ht="15.7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33"/>
      <c r="Q497" s="200"/>
    </row>
    <row r="498" ht="15.7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33"/>
      <c r="Q498" s="200"/>
    </row>
    <row r="499" ht="15.7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33"/>
      <c r="Q499" s="200"/>
    </row>
    <row r="500" ht="15.7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33"/>
      <c r="Q500" s="200"/>
    </row>
    <row r="501" ht="15.7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33"/>
      <c r="Q501" s="200"/>
    </row>
    <row r="502" ht="15.7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33"/>
      <c r="Q502" s="200"/>
    </row>
    <row r="503" ht="15.7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33"/>
      <c r="Q503" s="200"/>
    </row>
    <row r="504" ht="15.7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33"/>
      <c r="Q504" s="200"/>
    </row>
    <row r="505" ht="15.7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33"/>
      <c r="Q505" s="200"/>
    </row>
    <row r="506" ht="15.7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33"/>
      <c r="Q506" s="200"/>
    </row>
    <row r="507" ht="15.7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33"/>
      <c r="Q507" s="200"/>
    </row>
    <row r="508" ht="15.7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33"/>
      <c r="Q508" s="200"/>
    </row>
    <row r="509" ht="15.7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33"/>
      <c r="Q509" s="200"/>
    </row>
    <row r="510" ht="15.7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33"/>
      <c r="Q510" s="200"/>
    </row>
    <row r="511" ht="15.7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33"/>
      <c r="Q511" s="200"/>
    </row>
    <row r="512" ht="15.7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33"/>
      <c r="Q512" s="200"/>
    </row>
    <row r="513" ht="15.7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33"/>
      <c r="Q513" s="200"/>
    </row>
    <row r="514" ht="15.7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33"/>
      <c r="Q514" s="200"/>
    </row>
    <row r="515" ht="15.7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33"/>
      <c r="Q515" s="200"/>
    </row>
    <row r="516" ht="15.7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33"/>
      <c r="Q516" s="200"/>
    </row>
    <row r="517" ht="15.7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33"/>
      <c r="Q517" s="200"/>
    </row>
    <row r="518" ht="15.7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33"/>
      <c r="Q518" s="200"/>
    </row>
    <row r="519" ht="15.7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33"/>
      <c r="Q519" s="200"/>
    </row>
    <row r="520" ht="15.7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33"/>
      <c r="Q520" s="200"/>
    </row>
    <row r="521" ht="15.7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33"/>
      <c r="Q521" s="200"/>
    </row>
    <row r="522" ht="15.7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33"/>
      <c r="Q522" s="200"/>
    </row>
    <row r="523" ht="15.7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33"/>
      <c r="Q523" s="200"/>
    </row>
    <row r="524" ht="15.7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33"/>
      <c r="Q524" s="200"/>
    </row>
    <row r="525" ht="15.7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33"/>
      <c r="Q525" s="200"/>
    </row>
    <row r="526" ht="15.7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33"/>
      <c r="Q526" s="200"/>
    </row>
    <row r="527" ht="15.7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33"/>
      <c r="Q527" s="200"/>
    </row>
    <row r="528" ht="15.7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33"/>
      <c r="Q528" s="200"/>
    </row>
    <row r="529" ht="15.7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33"/>
      <c r="Q529" s="200"/>
    </row>
    <row r="530" ht="15.7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33"/>
      <c r="Q530" s="200"/>
    </row>
    <row r="531" ht="15.7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33"/>
      <c r="Q531" s="200"/>
    </row>
    <row r="532" ht="15.7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33"/>
      <c r="Q532" s="200"/>
    </row>
    <row r="533" ht="15.7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33"/>
      <c r="Q533" s="200"/>
    </row>
    <row r="534" ht="15.7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33"/>
      <c r="Q534" s="200"/>
    </row>
    <row r="535" ht="15.7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33"/>
      <c r="Q535" s="200"/>
    </row>
    <row r="536" ht="15.7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33"/>
      <c r="Q536" s="200"/>
    </row>
    <row r="537" ht="15.7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33"/>
      <c r="Q537" s="200"/>
    </row>
    <row r="538" ht="15.7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33"/>
      <c r="Q538" s="200"/>
    </row>
    <row r="539" ht="15.7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33"/>
      <c r="Q539" s="200"/>
    </row>
    <row r="540" ht="15.7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33"/>
      <c r="Q540" s="200"/>
    </row>
    <row r="541" ht="15.7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33"/>
      <c r="Q541" s="200"/>
    </row>
    <row r="542" ht="15.7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33"/>
      <c r="Q542" s="200"/>
    </row>
    <row r="543" ht="15.7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33"/>
      <c r="Q543" s="200"/>
    </row>
    <row r="544" ht="15.7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33"/>
      <c r="Q544" s="200"/>
    </row>
    <row r="545" ht="15.7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33"/>
      <c r="Q545" s="200"/>
    </row>
    <row r="546" ht="15.7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33"/>
      <c r="Q546" s="200"/>
    </row>
    <row r="547" ht="15.7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33"/>
      <c r="Q547" s="200"/>
    </row>
    <row r="548" ht="15.7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33"/>
      <c r="Q548" s="200"/>
    </row>
    <row r="549" ht="15.7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33"/>
      <c r="Q549" s="200"/>
    </row>
    <row r="550" ht="15.7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33"/>
      <c r="Q550" s="200"/>
    </row>
    <row r="551" ht="15.7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33"/>
      <c r="Q551" s="200"/>
    </row>
    <row r="552" ht="15.7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33"/>
      <c r="Q552" s="200"/>
    </row>
    <row r="553" ht="15.7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33"/>
      <c r="Q553" s="200"/>
    </row>
    <row r="554" ht="15.7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33"/>
      <c r="Q554" s="200"/>
    </row>
    <row r="555" ht="15.7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33"/>
      <c r="Q555" s="200"/>
    </row>
    <row r="556" ht="15.7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33"/>
      <c r="Q556" s="200"/>
    </row>
    <row r="557" ht="15.7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33"/>
      <c r="Q557" s="200"/>
    </row>
    <row r="558" ht="15.7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33"/>
      <c r="Q558" s="200"/>
    </row>
    <row r="559" ht="15.7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33"/>
      <c r="Q559" s="200"/>
    </row>
    <row r="560" ht="15.7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33"/>
      <c r="Q560" s="200"/>
    </row>
    <row r="561" ht="15.7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33"/>
      <c r="Q561" s="200"/>
    </row>
    <row r="562" ht="15.7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33"/>
      <c r="Q562" s="200"/>
    </row>
    <row r="563" ht="15.7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33"/>
      <c r="Q563" s="200"/>
    </row>
    <row r="564" ht="15.7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33"/>
      <c r="Q564" s="200"/>
    </row>
    <row r="565" ht="15.7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33"/>
      <c r="Q565" s="200"/>
    </row>
    <row r="566" ht="15.7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33"/>
      <c r="Q566" s="200"/>
    </row>
    <row r="567" ht="15.7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33"/>
      <c r="Q567" s="200"/>
    </row>
    <row r="568" ht="15.7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33"/>
      <c r="Q568" s="200"/>
    </row>
    <row r="569" ht="15.7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33"/>
      <c r="Q569" s="200"/>
    </row>
    <row r="570" ht="15.7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33"/>
      <c r="Q570" s="200"/>
    </row>
    <row r="571" ht="15.7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33"/>
      <c r="Q571" s="200"/>
    </row>
    <row r="572" ht="15.7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33"/>
      <c r="Q572" s="200"/>
    </row>
    <row r="573" ht="15.7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33"/>
      <c r="Q573" s="200"/>
    </row>
    <row r="574" ht="15.7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33"/>
      <c r="Q574" s="200"/>
    </row>
    <row r="575" ht="15.7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33"/>
      <c r="Q575" s="200"/>
    </row>
    <row r="576" ht="15.7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33"/>
      <c r="Q576" s="200"/>
    </row>
    <row r="577" ht="15.7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33"/>
      <c r="Q577" s="200"/>
    </row>
    <row r="578" ht="15.7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33"/>
      <c r="Q578" s="200"/>
    </row>
    <row r="579" ht="15.7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33"/>
      <c r="Q579" s="200"/>
    </row>
    <row r="580" ht="15.7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33"/>
      <c r="Q580" s="200"/>
    </row>
    <row r="581" ht="15.7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33"/>
      <c r="Q581" s="200"/>
    </row>
    <row r="582" ht="15.7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33"/>
      <c r="Q582" s="200"/>
    </row>
    <row r="583" ht="15.7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33"/>
      <c r="Q583" s="200"/>
    </row>
    <row r="584" ht="15.7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33"/>
      <c r="Q584" s="200"/>
    </row>
    <row r="585" ht="15.7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33"/>
      <c r="Q585" s="200"/>
    </row>
    <row r="586" ht="15.7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33"/>
      <c r="Q586" s="200"/>
    </row>
    <row r="587" ht="15.7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33"/>
      <c r="Q587" s="200"/>
    </row>
    <row r="588" ht="15.7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33"/>
      <c r="Q588" s="200"/>
    </row>
    <row r="589" ht="15.7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33"/>
      <c r="Q589" s="200"/>
    </row>
    <row r="590" ht="15.7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33"/>
      <c r="Q590" s="200"/>
    </row>
    <row r="591" ht="15.7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33"/>
      <c r="Q591" s="200"/>
    </row>
    <row r="592" ht="15.7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33"/>
      <c r="Q592" s="200"/>
    </row>
    <row r="593" ht="15.7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33"/>
      <c r="Q593" s="200"/>
    </row>
    <row r="594" ht="15.7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33"/>
      <c r="Q594" s="200"/>
    </row>
    <row r="595" ht="15.7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33"/>
      <c r="Q595" s="200"/>
    </row>
    <row r="596" ht="15.7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33"/>
      <c r="Q596" s="200"/>
    </row>
    <row r="597" ht="15.7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33"/>
      <c r="Q597" s="200"/>
    </row>
    <row r="598" ht="15.7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33"/>
      <c r="Q598" s="200"/>
    </row>
    <row r="599" ht="15.7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33"/>
      <c r="Q599" s="200"/>
    </row>
    <row r="600" ht="15.7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33"/>
      <c r="Q600" s="200"/>
    </row>
    <row r="601" ht="15.7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33"/>
      <c r="Q601" s="200"/>
    </row>
    <row r="602" ht="15.7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33"/>
      <c r="Q602" s="200"/>
    </row>
    <row r="603" ht="15.7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33"/>
      <c r="Q603" s="200"/>
    </row>
    <row r="604" ht="15.7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33"/>
      <c r="Q604" s="200"/>
    </row>
    <row r="605" ht="15.7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33"/>
      <c r="Q605" s="200"/>
    </row>
    <row r="606" ht="15.7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33"/>
      <c r="Q606" s="200"/>
    </row>
    <row r="607" ht="15.7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33"/>
      <c r="Q607" s="200"/>
    </row>
    <row r="608" ht="15.7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33"/>
      <c r="Q608" s="200"/>
    </row>
    <row r="609" ht="15.7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33"/>
      <c r="Q609" s="200"/>
    </row>
    <row r="610" ht="15.7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33"/>
      <c r="Q610" s="200"/>
    </row>
    <row r="611" ht="15.7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33"/>
      <c r="Q611" s="200"/>
    </row>
    <row r="612" ht="15.7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33"/>
      <c r="Q612" s="200"/>
    </row>
    <row r="613" ht="15.7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33"/>
      <c r="Q613" s="200"/>
    </row>
    <row r="614" ht="15.7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33"/>
      <c r="Q614" s="200"/>
    </row>
    <row r="615" ht="15.7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33"/>
      <c r="Q615" s="200"/>
    </row>
    <row r="616" ht="15.7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33"/>
      <c r="Q616" s="200"/>
    </row>
    <row r="617" ht="15.7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33"/>
      <c r="Q617" s="200"/>
    </row>
    <row r="618" ht="15.7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33"/>
      <c r="Q618" s="200"/>
    </row>
    <row r="619" ht="15.7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33"/>
      <c r="Q619" s="200"/>
    </row>
    <row r="620" ht="15.7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33"/>
      <c r="Q620" s="200"/>
    </row>
    <row r="621" ht="15.7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33"/>
      <c r="Q621" s="200"/>
    </row>
    <row r="622" ht="15.7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33"/>
      <c r="Q622" s="200"/>
    </row>
    <row r="623" ht="15.7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33"/>
      <c r="Q623" s="200"/>
    </row>
    <row r="624" ht="15.7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33"/>
      <c r="Q624" s="200"/>
    </row>
    <row r="625" ht="15.7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33"/>
      <c r="Q625" s="200"/>
    </row>
    <row r="626" ht="15.7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33"/>
      <c r="Q626" s="200"/>
    </row>
    <row r="627" ht="15.7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33"/>
      <c r="Q627" s="200"/>
    </row>
    <row r="628" ht="15.7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33"/>
      <c r="Q628" s="200"/>
    </row>
    <row r="629" ht="15.7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33"/>
      <c r="Q629" s="200"/>
    </row>
    <row r="630" ht="15.7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33"/>
      <c r="Q630" s="200"/>
    </row>
    <row r="631" ht="15.7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33"/>
      <c r="Q631" s="200"/>
    </row>
    <row r="632" ht="15.7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33"/>
      <c r="Q632" s="200"/>
    </row>
    <row r="633" ht="15.7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33"/>
      <c r="Q633" s="200"/>
    </row>
    <row r="634" ht="15.7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33"/>
      <c r="Q634" s="200"/>
    </row>
    <row r="635" ht="15.7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33"/>
      <c r="Q635" s="200"/>
    </row>
    <row r="636" ht="15.7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33"/>
      <c r="Q636" s="200"/>
    </row>
    <row r="637" ht="15.7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33"/>
      <c r="Q637" s="200"/>
    </row>
    <row r="638" ht="15.7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33"/>
      <c r="Q638" s="200"/>
    </row>
    <row r="639" ht="15.7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33"/>
      <c r="Q639" s="200"/>
    </row>
    <row r="640" ht="15.7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33"/>
      <c r="Q640" s="200"/>
    </row>
    <row r="641" ht="15.7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33"/>
      <c r="Q641" s="200"/>
    </row>
    <row r="642" ht="15.7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33"/>
      <c r="Q642" s="200"/>
    </row>
    <row r="643" ht="15.7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33"/>
      <c r="Q643" s="200"/>
    </row>
    <row r="644" ht="15.7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33"/>
      <c r="Q644" s="200"/>
    </row>
    <row r="645" ht="15.7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33"/>
      <c r="Q645" s="200"/>
    </row>
    <row r="646" ht="15.7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33"/>
      <c r="Q646" s="200"/>
    </row>
    <row r="647" ht="15.7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33"/>
      <c r="Q647" s="200"/>
    </row>
    <row r="648" ht="15.7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33"/>
      <c r="Q648" s="200"/>
    </row>
    <row r="649" ht="15.7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33"/>
      <c r="Q649" s="200"/>
    </row>
    <row r="650" ht="15.7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33"/>
      <c r="Q650" s="200"/>
    </row>
    <row r="651" ht="15.7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33"/>
      <c r="Q651" s="200"/>
    </row>
    <row r="652" ht="15.7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33"/>
      <c r="Q652" s="200"/>
    </row>
    <row r="653" ht="15.7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33"/>
      <c r="Q653" s="200"/>
    </row>
    <row r="654" ht="15.7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33"/>
      <c r="Q654" s="200"/>
    </row>
    <row r="655" ht="15.7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33"/>
      <c r="Q655" s="200"/>
    </row>
    <row r="656" ht="15.7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33"/>
      <c r="Q656" s="200"/>
    </row>
    <row r="657" ht="15.7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33"/>
      <c r="Q657" s="200"/>
    </row>
    <row r="658" ht="15.7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33"/>
      <c r="Q658" s="200"/>
    </row>
    <row r="659" ht="15.7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33"/>
      <c r="Q659" s="200"/>
    </row>
    <row r="660" ht="15.7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33"/>
      <c r="Q660" s="200"/>
    </row>
    <row r="661" ht="15.7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33"/>
      <c r="Q661" s="200"/>
    </row>
    <row r="662" ht="15.7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33"/>
      <c r="Q662" s="200"/>
    </row>
    <row r="663" ht="15.7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33"/>
      <c r="Q663" s="200"/>
    </row>
    <row r="664" ht="15.7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33"/>
      <c r="Q664" s="200"/>
    </row>
    <row r="665" ht="15.7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33"/>
      <c r="Q665" s="200"/>
    </row>
    <row r="666" ht="15.7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33"/>
      <c r="Q666" s="200"/>
    </row>
    <row r="667" ht="15.7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33"/>
      <c r="Q667" s="200"/>
    </row>
    <row r="668" ht="15.7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33"/>
      <c r="Q668" s="200"/>
    </row>
    <row r="669" ht="15.7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33"/>
      <c r="Q669" s="200"/>
    </row>
    <row r="670" ht="15.7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33"/>
      <c r="Q670" s="200"/>
    </row>
    <row r="671" ht="15.7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33"/>
      <c r="Q671" s="200"/>
    </row>
    <row r="672" ht="15.7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33"/>
      <c r="Q672" s="200"/>
    </row>
    <row r="673" ht="15.7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33"/>
      <c r="Q673" s="200"/>
    </row>
    <row r="674" ht="15.7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33"/>
      <c r="Q674" s="200"/>
    </row>
    <row r="675" ht="15.7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33"/>
      <c r="Q675" s="200"/>
    </row>
    <row r="676" ht="15.7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33"/>
      <c r="Q676" s="200"/>
    </row>
    <row r="677" ht="15.7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33"/>
      <c r="Q677" s="200"/>
    </row>
    <row r="678" ht="15.7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33"/>
      <c r="Q678" s="200"/>
    </row>
    <row r="679" ht="15.7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33"/>
      <c r="Q679" s="200"/>
    </row>
    <row r="680" ht="15.7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33"/>
      <c r="Q680" s="200"/>
    </row>
    <row r="681" ht="15.7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33"/>
      <c r="Q681" s="200"/>
    </row>
    <row r="682" ht="15.7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33"/>
      <c r="Q682" s="200"/>
    </row>
    <row r="683" ht="15.7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33"/>
      <c r="Q683" s="200"/>
    </row>
    <row r="684" ht="15.7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33"/>
      <c r="Q684" s="200"/>
    </row>
    <row r="685" ht="15.7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33"/>
      <c r="Q685" s="200"/>
    </row>
    <row r="686" ht="15.7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33"/>
      <c r="Q686" s="200"/>
    </row>
    <row r="687" ht="15.7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33"/>
      <c r="Q687" s="200"/>
    </row>
    <row r="688" ht="15.7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33"/>
      <c r="Q688" s="200"/>
    </row>
    <row r="689" ht="15.7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33"/>
      <c r="Q689" s="200"/>
    </row>
    <row r="690" ht="15.7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33"/>
      <c r="Q690" s="200"/>
    </row>
    <row r="691" ht="15.7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33"/>
      <c r="Q691" s="200"/>
    </row>
    <row r="692" ht="15.7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33"/>
      <c r="Q692" s="200"/>
    </row>
    <row r="693" ht="15.7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33"/>
      <c r="Q693" s="200"/>
    </row>
    <row r="694" ht="15.7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33"/>
      <c r="Q694" s="200"/>
    </row>
    <row r="695" ht="15.7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33"/>
      <c r="Q695" s="200"/>
    </row>
    <row r="696" ht="15.7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33"/>
      <c r="Q696" s="200"/>
    </row>
    <row r="697" ht="15.7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33"/>
      <c r="Q697" s="200"/>
    </row>
    <row r="698" ht="15.7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33"/>
      <c r="Q698" s="200"/>
    </row>
    <row r="699" ht="15.7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33"/>
      <c r="Q699" s="200"/>
    </row>
    <row r="700" ht="15.7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33"/>
      <c r="Q700" s="200"/>
    </row>
    <row r="701" ht="15.7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33"/>
      <c r="Q701" s="200"/>
    </row>
    <row r="702" ht="15.7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33"/>
      <c r="Q702" s="200"/>
    </row>
    <row r="703" ht="15.7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33"/>
      <c r="Q703" s="200"/>
    </row>
    <row r="704" ht="15.7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33"/>
      <c r="Q704" s="200"/>
    </row>
    <row r="705" ht="15.7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33"/>
      <c r="Q705" s="200"/>
    </row>
    <row r="706" ht="15.7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33"/>
      <c r="Q706" s="200"/>
    </row>
    <row r="707" ht="15.7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33"/>
      <c r="Q707" s="200"/>
    </row>
    <row r="708" ht="15.7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33"/>
      <c r="Q708" s="200"/>
    </row>
    <row r="709" ht="15.7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33"/>
      <c r="Q709" s="200"/>
    </row>
    <row r="710" ht="15.7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33"/>
      <c r="Q710" s="200"/>
    </row>
    <row r="711" ht="15.7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33"/>
      <c r="Q711" s="200"/>
    </row>
    <row r="712" ht="15.7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33"/>
      <c r="Q712" s="200"/>
    </row>
    <row r="713" ht="15.7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33"/>
      <c r="Q713" s="200"/>
    </row>
    <row r="714" ht="15.7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33"/>
      <c r="Q714" s="200"/>
    </row>
    <row r="715" ht="15.7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33"/>
      <c r="Q715" s="200"/>
    </row>
    <row r="716" ht="15.7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33"/>
      <c r="Q716" s="200"/>
    </row>
    <row r="717" ht="15.7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33"/>
      <c r="Q717" s="200"/>
    </row>
    <row r="718" ht="15.7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33"/>
      <c r="Q718" s="200"/>
    </row>
    <row r="719" ht="15.7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33"/>
      <c r="Q719" s="200"/>
    </row>
    <row r="720" ht="15.7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33"/>
      <c r="Q720" s="200"/>
    </row>
    <row r="721" ht="15.7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33"/>
      <c r="Q721" s="200"/>
    </row>
    <row r="722" ht="15.7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33"/>
      <c r="Q722" s="200"/>
    </row>
    <row r="723" ht="15.7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33"/>
      <c r="Q723" s="200"/>
    </row>
    <row r="724" ht="15.7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33"/>
      <c r="Q724" s="200"/>
    </row>
    <row r="725" ht="15.7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33"/>
      <c r="Q725" s="200"/>
    </row>
    <row r="726" ht="15.7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33"/>
      <c r="Q726" s="200"/>
    </row>
    <row r="727" ht="15.7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33"/>
      <c r="Q727" s="200"/>
    </row>
    <row r="728" ht="15.7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33"/>
      <c r="Q728" s="200"/>
    </row>
    <row r="729" ht="15.7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33"/>
      <c r="Q729" s="200"/>
    </row>
    <row r="730" ht="15.7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33"/>
      <c r="Q730" s="200"/>
    </row>
    <row r="731" ht="15.7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33"/>
      <c r="Q731" s="200"/>
    </row>
    <row r="732" ht="15.7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33"/>
      <c r="Q732" s="200"/>
    </row>
    <row r="733" ht="15.7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33"/>
      <c r="Q733" s="200"/>
    </row>
    <row r="734" ht="15.7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33"/>
      <c r="Q734" s="200"/>
    </row>
    <row r="735" ht="15.7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33"/>
      <c r="Q735" s="200"/>
    </row>
    <row r="736" ht="15.7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33"/>
      <c r="Q736" s="200"/>
    </row>
    <row r="737" ht="15.7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33"/>
      <c r="Q737" s="200"/>
    </row>
    <row r="738" ht="15.7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33"/>
      <c r="Q738" s="200"/>
    </row>
    <row r="739" ht="15.7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33"/>
      <c r="Q739" s="200"/>
    </row>
    <row r="740" ht="15.7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33"/>
      <c r="Q740" s="200"/>
    </row>
    <row r="741" ht="15.7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33"/>
      <c r="Q741" s="200"/>
    </row>
    <row r="742" ht="15.7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33"/>
      <c r="Q742" s="200"/>
    </row>
    <row r="743" ht="15.7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33"/>
      <c r="Q743" s="200"/>
    </row>
    <row r="744" ht="15.7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33"/>
      <c r="Q744" s="200"/>
    </row>
    <row r="745" ht="15.7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33"/>
      <c r="Q745" s="200"/>
    </row>
    <row r="746" ht="15.7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33"/>
      <c r="Q746" s="200"/>
    </row>
    <row r="747" ht="15.7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33"/>
      <c r="Q747" s="200"/>
    </row>
    <row r="748" ht="15.7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33"/>
      <c r="Q748" s="200"/>
    </row>
    <row r="749" ht="15.7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33"/>
      <c r="Q749" s="200"/>
    </row>
    <row r="750" ht="15.7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33"/>
      <c r="Q750" s="200"/>
    </row>
    <row r="751" ht="15.7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33"/>
      <c r="Q751" s="200"/>
    </row>
    <row r="752" ht="15.7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33"/>
      <c r="Q752" s="200"/>
    </row>
    <row r="753" ht="15.7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33"/>
      <c r="Q753" s="200"/>
    </row>
    <row r="754" ht="15.7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33"/>
      <c r="Q754" s="200"/>
    </row>
    <row r="755" ht="15.7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33"/>
      <c r="Q755" s="200"/>
    </row>
    <row r="756" ht="15.7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33"/>
      <c r="Q756" s="200"/>
    </row>
    <row r="757" ht="15.7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33"/>
      <c r="Q757" s="200"/>
    </row>
    <row r="758" ht="15.7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33"/>
      <c r="Q758" s="200"/>
    </row>
    <row r="759" ht="15.7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33"/>
      <c r="Q759" s="200"/>
    </row>
    <row r="760" ht="15.7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33"/>
      <c r="Q760" s="200"/>
    </row>
    <row r="761" ht="15.7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33"/>
      <c r="Q761" s="200"/>
    </row>
    <row r="762" ht="15.7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33"/>
      <c r="Q762" s="200"/>
    </row>
    <row r="763" ht="15.7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33"/>
      <c r="Q763" s="200"/>
    </row>
    <row r="764" ht="15.7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33"/>
      <c r="Q764" s="200"/>
    </row>
    <row r="765" ht="15.7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33"/>
      <c r="Q765" s="200"/>
    </row>
    <row r="766" ht="15.7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33"/>
      <c r="Q766" s="200"/>
    </row>
    <row r="767" ht="15.7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33"/>
      <c r="Q767" s="200"/>
    </row>
    <row r="768" ht="15.7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33"/>
      <c r="Q768" s="200"/>
    </row>
    <row r="769" ht="15.7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33"/>
      <c r="Q769" s="200"/>
    </row>
    <row r="770" ht="15.7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33"/>
      <c r="Q770" s="200"/>
    </row>
    <row r="771" ht="15.7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33"/>
      <c r="Q771" s="200"/>
    </row>
    <row r="772" ht="15.7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33"/>
      <c r="Q772" s="200"/>
    </row>
    <row r="773" ht="15.7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33"/>
      <c r="Q773" s="200"/>
    </row>
    <row r="774" ht="15.7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33"/>
      <c r="Q774" s="200"/>
    </row>
    <row r="775" ht="15.7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33"/>
      <c r="Q775" s="200"/>
    </row>
    <row r="776" ht="15.7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33"/>
      <c r="Q776" s="200"/>
    </row>
    <row r="777" ht="15.7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33"/>
      <c r="Q777" s="200"/>
    </row>
    <row r="778" ht="15.7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33"/>
      <c r="Q778" s="200"/>
    </row>
    <row r="779" ht="15.7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33"/>
      <c r="Q779" s="200"/>
    </row>
    <row r="780" ht="15.7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33"/>
      <c r="Q780" s="200"/>
    </row>
    <row r="781" ht="15.7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33"/>
      <c r="Q781" s="200"/>
    </row>
    <row r="782" ht="15.7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33"/>
      <c r="Q782" s="200"/>
    </row>
    <row r="783" ht="15.7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33"/>
      <c r="Q783" s="200"/>
    </row>
    <row r="784" ht="15.7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33"/>
      <c r="Q784" s="200"/>
    </row>
    <row r="785" ht="15.7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33"/>
      <c r="Q785" s="200"/>
    </row>
    <row r="786" ht="15.7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33"/>
      <c r="Q786" s="200"/>
    </row>
    <row r="787" ht="15.7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33"/>
      <c r="Q787" s="200"/>
    </row>
    <row r="788" ht="15.7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33"/>
      <c r="Q788" s="200"/>
    </row>
    <row r="789" ht="15.7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33"/>
      <c r="Q789" s="200"/>
    </row>
    <row r="790" ht="15.7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33"/>
      <c r="Q790" s="200"/>
    </row>
    <row r="791" ht="15.7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33"/>
      <c r="Q791" s="200"/>
    </row>
    <row r="792" ht="15.7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33"/>
      <c r="Q792" s="200"/>
    </row>
    <row r="793" ht="15.7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33"/>
      <c r="Q793" s="200"/>
    </row>
    <row r="794" ht="15.7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33"/>
      <c r="Q794" s="200"/>
    </row>
    <row r="795" ht="15.7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33"/>
      <c r="Q795" s="200"/>
    </row>
    <row r="796" ht="15.7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33"/>
      <c r="Q796" s="200"/>
    </row>
    <row r="797" ht="15.7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33"/>
      <c r="Q797" s="200"/>
    </row>
    <row r="798" ht="15.7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33"/>
      <c r="Q798" s="200"/>
    </row>
    <row r="799" ht="15.7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33"/>
      <c r="Q799" s="200"/>
    </row>
    <row r="800" ht="15.7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33"/>
      <c r="Q800" s="200"/>
    </row>
    <row r="801" ht="15.7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33"/>
      <c r="Q801" s="200"/>
    </row>
    <row r="802" ht="15.7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33"/>
      <c r="Q802" s="200"/>
    </row>
    <row r="803" ht="15.7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33"/>
      <c r="Q803" s="200"/>
    </row>
    <row r="804" ht="15.7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33"/>
      <c r="Q804" s="200"/>
    </row>
    <row r="805" ht="15.7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33"/>
      <c r="Q805" s="200"/>
    </row>
    <row r="806" ht="15.7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33"/>
      <c r="Q806" s="200"/>
    </row>
    <row r="807" ht="15.7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33"/>
      <c r="Q807" s="200"/>
    </row>
    <row r="808" ht="15.7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33"/>
      <c r="Q808" s="200"/>
    </row>
    <row r="809" ht="15.7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33"/>
      <c r="Q809" s="200"/>
    </row>
    <row r="810" ht="15.7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33"/>
      <c r="Q810" s="200"/>
    </row>
    <row r="811" ht="15.7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33"/>
      <c r="Q811" s="200"/>
    </row>
    <row r="812" ht="15.7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33"/>
      <c r="Q812" s="200"/>
    </row>
    <row r="813" ht="15.7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33"/>
      <c r="Q813" s="200"/>
    </row>
    <row r="814" ht="15.7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33"/>
      <c r="Q814" s="200"/>
    </row>
    <row r="815" ht="15.7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33"/>
      <c r="Q815" s="200"/>
    </row>
    <row r="816" ht="15.7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33"/>
      <c r="Q816" s="200"/>
    </row>
    <row r="817" ht="15.7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33"/>
      <c r="Q817" s="200"/>
    </row>
    <row r="818" ht="15.7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33"/>
      <c r="Q818" s="200"/>
    </row>
    <row r="819" ht="15.7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33"/>
      <c r="Q819" s="200"/>
    </row>
    <row r="820" ht="15.7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33"/>
      <c r="Q820" s="200"/>
    </row>
    <row r="821" ht="15.7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33"/>
      <c r="Q821" s="200"/>
    </row>
    <row r="822" ht="15.7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33"/>
      <c r="Q822" s="200"/>
    </row>
    <row r="823" ht="15.7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33"/>
      <c r="Q823" s="200"/>
    </row>
    <row r="824" ht="15.7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33"/>
      <c r="Q824" s="200"/>
    </row>
    <row r="825" ht="15.7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33"/>
      <c r="Q825" s="200"/>
    </row>
    <row r="826" ht="15.7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33"/>
      <c r="Q826" s="200"/>
    </row>
    <row r="827" ht="15.7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33"/>
      <c r="Q827" s="200"/>
    </row>
    <row r="828" ht="15.7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33"/>
      <c r="Q828" s="200"/>
    </row>
    <row r="829" ht="15.7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33"/>
      <c r="Q829" s="200"/>
    </row>
    <row r="830" ht="15.7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33"/>
      <c r="Q830" s="200"/>
    </row>
    <row r="831" ht="15.7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33"/>
      <c r="Q831" s="200"/>
    </row>
    <row r="832" ht="15.7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33"/>
      <c r="Q832" s="200"/>
    </row>
    <row r="833" ht="15.7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33"/>
      <c r="Q833" s="200"/>
    </row>
    <row r="834" ht="15.7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33"/>
      <c r="Q834" s="200"/>
    </row>
    <row r="835" ht="15.7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33"/>
      <c r="Q835" s="200"/>
    </row>
    <row r="836" ht="15.7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33"/>
      <c r="Q836" s="200"/>
    </row>
    <row r="837" ht="15.7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33"/>
      <c r="Q837" s="200"/>
    </row>
    <row r="838" ht="15.7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33"/>
      <c r="Q838" s="200"/>
    </row>
    <row r="839" ht="15.7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33"/>
      <c r="Q839" s="200"/>
    </row>
    <row r="840" ht="15.7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33"/>
      <c r="Q840" s="200"/>
    </row>
    <row r="841" ht="15.7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33"/>
      <c r="Q841" s="200"/>
    </row>
    <row r="842" ht="15.7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33"/>
      <c r="Q842" s="200"/>
    </row>
    <row r="843" ht="15.7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33"/>
      <c r="Q843" s="200"/>
    </row>
    <row r="844" ht="15.7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33"/>
      <c r="Q844" s="200"/>
    </row>
    <row r="845" ht="15.7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33"/>
      <c r="Q845" s="200"/>
    </row>
    <row r="846" ht="15.7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33"/>
      <c r="Q846" s="200"/>
    </row>
    <row r="847" ht="15.7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33"/>
      <c r="Q847" s="200"/>
    </row>
    <row r="848" ht="15.7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33"/>
      <c r="Q848" s="200"/>
    </row>
    <row r="849" ht="15.7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33"/>
      <c r="Q849" s="200"/>
    </row>
    <row r="850" ht="15.7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33"/>
      <c r="Q850" s="200"/>
    </row>
    <row r="851" ht="15.7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33"/>
      <c r="Q851" s="200"/>
    </row>
    <row r="852" ht="15.7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33"/>
      <c r="Q852" s="200"/>
    </row>
    <row r="853" ht="15.7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33"/>
      <c r="Q853" s="200"/>
    </row>
    <row r="854" ht="15.7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33"/>
      <c r="Q854" s="200"/>
    </row>
    <row r="855" ht="15.7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33"/>
      <c r="Q855" s="200"/>
    </row>
    <row r="856" ht="15.7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33"/>
      <c r="Q856" s="200"/>
    </row>
    <row r="857" ht="15.7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33"/>
      <c r="Q857" s="200"/>
    </row>
    <row r="858" ht="15.7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33"/>
      <c r="Q858" s="200"/>
    </row>
    <row r="859" ht="15.7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33"/>
      <c r="Q859" s="200"/>
    </row>
    <row r="860" ht="15.7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33"/>
      <c r="Q860" s="200"/>
    </row>
    <row r="861" ht="15.7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33"/>
      <c r="Q861" s="200"/>
    </row>
    <row r="862" ht="15.7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33"/>
      <c r="Q862" s="200"/>
    </row>
    <row r="863" ht="15.7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33"/>
      <c r="Q863" s="200"/>
    </row>
    <row r="864" ht="15.7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33"/>
      <c r="Q864" s="200"/>
    </row>
    <row r="865" ht="15.7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33"/>
      <c r="Q865" s="200"/>
    </row>
    <row r="866" ht="15.7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33"/>
      <c r="Q866" s="200"/>
    </row>
    <row r="867" ht="15.7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33"/>
      <c r="Q867" s="200"/>
    </row>
    <row r="868" ht="15.7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33"/>
      <c r="Q868" s="200"/>
    </row>
    <row r="869" ht="15.7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33"/>
      <c r="Q869" s="200"/>
    </row>
    <row r="870" ht="15.7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33"/>
      <c r="Q870" s="200"/>
    </row>
    <row r="871" ht="15.7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33"/>
      <c r="Q871" s="200"/>
    </row>
    <row r="872" ht="15.7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33"/>
      <c r="Q872" s="200"/>
    </row>
    <row r="873" ht="15.7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33"/>
      <c r="Q873" s="200"/>
    </row>
    <row r="874" ht="15.7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33"/>
      <c r="Q874" s="200"/>
    </row>
    <row r="875" ht="15.7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33"/>
      <c r="Q875" s="200"/>
    </row>
    <row r="876" ht="15.7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33"/>
      <c r="Q876" s="200"/>
    </row>
    <row r="877" ht="15.7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33"/>
      <c r="Q877" s="200"/>
    </row>
    <row r="878" ht="15.7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33"/>
      <c r="Q878" s="200"/>
    </row>
    <row r="879" ht="15.7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33"/>
      <c r="Q879" s="200"/>
    </row>
    <row r="880" ht="15.7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33"/>
      <c r="Q880" s="200"/>
    </row>
    <row r="881" ht="15.7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33"/>
      <c r="Q881" s="200"/>
    </row>
    <row r="882" ht="15.7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33"/>
      <c r="Q882" s="200"/>
    </row>
    <row r="883" ht="15.7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33"/>
      <c r="Q883" s="200"/>
    </row>
    <row r="884" ht="15.7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33"/>
      <c r="Q884" s="200"/>
    </row>
    <row r="885" ht="15.7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33"/>
      <c r="Q885" s="200"/>
    </row>
    <row r="886" ht="15.7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33"/>
      <c r="Q886" s="200"/>
    </row>
    <row r="887" ht="15.7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33"/>
      <c r="Q887" s="200"/>
    </row>
    <row r="888" ht="15.7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33"/>
      <c r="Q888" s="200"/>
    </row>
    <row r="889" ht="15.7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33"/>
      <c r="Q889" s="200"/>
    </row>
    <row r="890" ht="15.7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33"/>
      <c r="Q890" s="200"/>
    </row>
    <row r="891" ht="15.7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33"/>
      <c r="Q891" s="200"/>
    </row>
    <row r="892" ht="15.7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33"/>
      <c r="Q892" s="200"/>
    </row>
    <row r="893" ht="15.7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33"/>
      <c r="Q893" s="200"/>
    </row>
    <row r="894" ht="15.7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33"/>
      <c r="Q894" s="200"/>
    </row>
    <row r="895" ht="15.7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33"/>
      <c r="Q895" s="200"/>
    </row>
    <row r="896" ht="15.7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33"/>
      <c r="Q896" s="200"/>
    </row>
    <row r="897" ht="15.7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33"/>
      <c r="Q897" s="200"/>
    </row>
    <row r="898" ht="15.7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33"/>
      <c r="Q898" s="200"/>
    </row>
    <row r="899" ht="15.7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33"/>
      <c r="Q899" s="200"/>
    </row>
    <row r="900" ht="15.7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33"/>
      <c r="Q900" s="200"/>
    </row>
    <row r="901" ht="15.7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33"/>
      <c r="Q901" s="200"/>
    </row>
    <row r="902" ht="15.7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33"/>
      <c r="Q902" s="200"/>
    </row>
    <row r="903" ht="15.7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33"/>
      <c r="Q903" s="200"/>
    </row>
    <row r="904" ht="15.7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33"/>
      <c r="Q904" s="200"/>
    </row>
    <row r="905" ht="15.7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33"/>
      <c r="Q905" s="200"/>
    </row>
    <row r="906" ht="15.7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33"/>
      <c r="Q906" s="200"/>
    </row>
    <row r="907" ht="15.7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33"/>
      <c r="Q907" s="200"/>
    </row>
    <row r="908" ht="15.7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33"/>
      <c r="Q908" s="200"/>
    </row>
    <row r="909" ht="15.7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33"/>
      <c r="Q909" s="200"/>
    </row>
    <row r="910" ht="15.7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33"/>
      <c r="Q910" s="200"/>
    </row>
    <row r="911" ht="15.7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33"/>
      <c r="Q911" s="200"/>
    </row>
    <row r="912" ht="15.7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33"/>
      <c r="Q912" s="200"/>
    </row>
    <row r="913" ht="15.7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33"/>
      <c r="Q913" s="200"/>
    </row>
    <row r="914" ht="15.7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33"/>
      <c r="Q914" s="200"/>
    </row>
    <row r="915" ht="15.7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33"/>
      <c r="Q915" s="200"/>
    </row>
    <row r="916" ht="15.7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33"/>
      <c r="Q916" s="200"/>
    </row>
    <row r="917" ht="15.7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33"/>
      <c r="Q917" s="200"/>
    </row>
    <row r="918" ht="15.7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33"/>
      <c r="Q918" s="200"/>
    </row>
    <row r="919" ht="15.7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33"/>
      <c r="Q919" s="200"/>
    </row>
    <row r="920" ht="15.7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33"/>
      <c r="Q920" s="200"/>
    </row>
    <row r="921" ht="15.7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33"/>
      <c r="Q921" s="200"/>
    </row>
    <row r="922" ht="15.7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33"/>
      <c r="Q922" s="200"/>
    </row>
    <row r="923" ht="15.7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33"/>
      <c r="Q923" s="200"/>
    </row>
    <row r="924" ht="15.7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33"/>
      <c r="Q924" s="200"/>
    </row>
    <row r="925" ht="15.7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33"/>
      <c r="Q925" s="200"/>
    </row>
    <row r="926" ht="15.7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33"/>
      <c r="Q926" s="200"/>
    </row>
    <row r="927" ht="15.7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33"/>
      <c r="Q927" s="200"/>
    </row>
    <row r="928" ht="15.7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33"/>
      <c r="Q928" s="200"/>
    </row>
    <row r="929" ht="15.7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33"/>
      <c r="Q929" s="200"/>
    </row>
    <row r="930" ht="15.7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33"/>
      <c r="Q930" s="200"/>
    </row>
    <row r="931" ht="15.7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33"/>
      <c r="Q931" s="200"/>
    </row>
    <row r="932" ht="15.7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33"/>
      <c r="Q932" s="200"/>
    </row>
    <row r="933" ht="15.7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33"/>
      <c r="Q933" s="200"/>
    </row>
    <row r="934" ht="15.7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33"/>
      <c r="Q934" s="200"/>
    </row>
    <row r="935" ht="15.7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33"/>
      <c r="Q935" s="200"/>
    </row>
    <row r="936" ht="15.7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33"/>
      <c r="Q936" s="200"/>
    </row>
    <row r="937" ht="15.7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33"/>
      <c r="Q937" s="200"/>
    </row>
    <row r="938" ht="15.7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33"/>
      <c r="Q938" s="200"/>
    </row>
    <row r="939" ht="15.7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33"/>
      <c r="Q939" s="200"/>
    </row>
    <row r="940" ht="15.7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33"/>
      <c r="Q940" s="200"/>
    </row>
    <row r="941" ht="15.7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33"/>
      <c r="Q941" s="200"/>
    </row>
    <row r="942" ht="15.7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33"/>
      <c r="Q942" s="200"/>
    </row>
    <row r="943" ht="15.7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33"/>
      <c r="Q943" s="200"/>
    </row>
    <row r="944" ht="15.7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33"/>
      <c r="Q944" s="200"/>
    </row>
    <row r="945" ht="15.7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33"/>
      <c r="Q945" s="200"/>
    </row>
    <row r="946" ht="15.7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33"/>
      <c r="Q946" s="200"/>
    </row>
    <row r="947" ht="15.7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33"/>
      <c r="Q947" s="200"/>
    </row>
    <row r="948" ht="15.7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33"/>
      <c r="Q948" s="200"/>
    </row>
    <row r="949" ht="15.7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33"/>
      <c r="Q949" s="200"/>
    </row>
    <row r="950" ht="15.7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33"/>
      <c r="Q950" s="200"/>
    </row>
    <row r="951" ht="15.7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33"/>
      <c r="Q951" s="200"/>
    </row>
    <row r="952" ht="15.7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33"/>
      <c r="Q952" s="200"/>
    </row>
    <row r="953" ht="15.7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33"/>
      <c r="Q953" s="200"/>
    </row>
    <row r="954" ht="15.7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33"/>
      <c r="Q954" s="200"/>
    </row>
    <row r="955" ht="15.7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33"/>
      <c r="Q955" s="200"/>
    </row>
    <row r="956" ht="15.7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33"/>
      <c r="Q956" s="200"/>
    </row>
    <row r="957" ht="15.7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33"/>
      <c r="Q957" s="200"/>
    </row>
    <row r="958" ht="15.7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33"/>
      <c r="Q958" s="200"/>
    </row>
    <row r="959" ht="15.7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33"/>
      <c r="Q959" s="200"/>
    </row>
    <row r="960" ht="15.7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33"/>
      <c r="Q960" s="200"/>
    </row>
    <row r="961" ht="15.7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33"/>
      <c r="Q961" s="200"/>
    </row>
    <row r="962" ht="15.7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33"/>
      <c r="Q962" s="200"/>
    </row>
    <row r="963" ht="15.7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33"/>
      <c r="Q963" s="200"/>
    </row>
    <row r="964" ht="15.7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33"/>
      <c r="Q964" s="200"/>
    </row>
    <row r="965" ht="15.7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33"/>
      <c r="Q965" s="200"/>
    </row>
    <row r="966" ht="15.7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33"/>
      <c r="Q966" s="200"/>
    </row>
    <row r="967" ht="15.7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33"/>
      <c r="Q967" s="200"/>
    </row>
    <row r="968" ht="15.7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33"/>
      <c r="Q968" s="200"/>
    </row>
    <row r="969" ht="15.7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33"/>
      <c r="Q969" s="200"/>
    </row>
    <row r="970" ht="15.7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33"/>
      <c r="Q970" s="200"/>
    </row>
    <row r="971" ht="15.7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33"/>
      <c r="Q971" s="200"/>
    </row>
    <row r="972" ht="15.7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33"/>
      <c r="Q972" s="200"/>
    </row>
    <row r="973" ht="15.7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33"/>
      <c r="Q973" s="200"/>
    </row>
    <row r="974" ht="15.7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33"/>
      <c r="Q974" s="200"/>
    </row>
    <row r="975" ht="15.7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33"/>
      <c r="Q975" s="200"/>
    </row>
    <row r="976" ht="15.7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33"/>
      <c r="Q976" s="200"/>
    </row>
    <row r="977" ht="15.7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33"/>
      <c r="Q977" s="200"/>
    </row>
    <row r="978" ht="15.7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33"/>
      <c r="Q978" s="200"/>
    </row>
    <row r="979" ht="15.7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33"/>
      <c r="Q979" s="200"/>
    </row>
    <row r="980" ht="15.7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33"/>
      <c r="Q980" s="200"/>
    </row>
    <row r="981" ht="15.7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33"/>
      <c r="Q981" s="200"/>
    </row>
    <row r="982" ht="15.7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33"/>
      <c r="Q982" s="200"/>
    </row>
    <row r="983" ht="15.7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33"/>
      <c r="Q983" s="200"/>
    </row>
    <row r="984" ht="15.7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33"/>
      <c r="Q984" s="200"/>
    </row>
    <row r="985" ht="15.7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33"/>
      <c r="Q985" s="200"/>
    </row>
    <row r="986" ht="15.7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33"/>
      <c r="Q986" s="200"/>
    </row>
    <row r="987" ht="15.7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33"/>
      <c r="Q987" s="200"/>
    </row>
    <row r="988" ht="15.7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33"/>
      <c r="Q988" s="200"/>
    </row>
    <row r="989" ht="15.7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33"/>
      <c r="Q989" s="200"/>
    </row>
    <row r="990" ht="15.7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33"/>
      <c r="Q990" s="200"/>
    </row>
    <row r="991" ht="15.7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33"/>
      <c r="Q991" s="200"/>
    </row>
    <row r="992" ht="15.7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33"/>
      <c r="Q992" s="200"/>
    </row>
    <row r="993" ht="15.7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33"/>
      <c r="Q993" s="200"/>
    </row>
    <row r="994" ht="15.7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33"/>
      <c r="Q994" s="200"/>
    </row>
    <row r="995" ht="15.7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33"/>
      <c r="Q995" s="200"/>
    </row>
    <row r="996" ht="15.7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33"/>
      <c r="Q996" s="200"/>
    </row>
    <row r="997" ht="15.7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33"/>
      <c r="Q997" s="200"/>
    </row>
    <row r="998" ht="15.7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33"/>
      <c r="Q998" s="200"/>
    </row>
    <row r="999" ht="15.7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33"/>
      <c r="Q999" s="200"/>
    </row>
    <row r="1000" ht="15.7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33"/>
      <c r="Q1000" s="200"/>
    </row>
  </sheetData>
  <mergeCells count="8">
    <mergeCell ref="A1:P1"/>
    <mergeCell ref="D18:O18"/>
    <mergeCell ref="D22:O22"/>
    <mergeCell ref="D27:O27"/>
    <mergeCell ref="D30:O30"/>
    <mergeCell ref="D31:O31"/>
    <mergeCell ref="D32:O32"/>
    <mergeCell ref="D42:O42"/>
  </mergeCells>
  <printOptions/>
  <pageMargins bottom="0.75" footer="0.0" header="0.0" left="0.25" right="0.25" top="0.75"/>
  <pageSetup orientation="landscape"/>
  <drawing r:id="rId1"/>
</worksheet>
</file>