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<sst xmlns="http://schemas.openxmlformats.org/spreadsheetml/2006/main" count="454" uniqueCount="174">
  <si>
    <t>CONDOMINIO</t>
  </si>
  <si>
    <t>SANTA MARIA</t>
  </si>
  <si>
    <t>INFORME ECONOMICO</t>
  </si>
  <si>
    <t>Correspondiente al mes de Julio/2022</t>
  </si>
  <si>
    <t>INGRESOS</t>
  </si>
  <si>
    <t>Saldo del mes anterior</t>
  </si>
  <si>
    <t>Saldo en efectivo</t>
  </si>
  <si>
    <t>Expensas  julio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</si>
  <si>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</si>
  <si>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</si>
  <si>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</si>
  <si>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</si>
  <si>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</si>
  <si>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</si>
  <si>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</si>
  <si>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</si>
  <si>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</si>
  <si>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 junio/22</t>
  </si>
  <si>
    <t>CRE junio/22</t>
  </si>
  <si>
    <t>Gastos varios</t>
  </si>
  <si>
    <t>Caja chica</t>
  </si>
  <si>
    <t xml:space="preserve">Total egresos </t>
  </si>
  <si>
    <t>Saldo al 30 de Julio</t>
  </si>
  <si>
    <t>Saldo en Banco</t>
  </si>
  <si>
    <t xml:space="preserve">Saldo cierre </t>
  </si>
  <si>
    <t>Condominio SANTA MARIA</t>
  </si>
  <si>
    <t>Informe de Ingresos correspondiente a Julio/2022</t>
  </si>
  <si>
    <t>Nº</t>
  </si>
  <si>
    <t>Fecha</t>
  </si>
  <si>
    <t>Viviente</t>
  </si>
  <si>
    <t>Depto</t>
  </si>
  <si>
    <t>Recibo Nº</t>
  </si>
  <si>
    <t>Detalle de pago</t>
  </si>
  <si>
    <t>Exp Bs.</t>
  </si>
  <si>
    <t>Encarnación Yamal</t>
  </si>
  <si>
    <t>Expensas de Junio/22</t>
  </si>
  <si>
    <t>Carol Gainsborg</t>
  </si>
  <si>
    <t>Roxana de Payo</t>
  </si>
  <si>
    <t>Expensas de Julio/22</t>
  </si>
  <si>
    <t>Oscar Diego Leaño</t>
  </si>
  <si>
    <t>Ana Gloria Ponce de Leon</t>
  </si>
  <si>
    <t>Expensas de febrero y marzo/22</t>
  </si>
  <si>
    <t>Ignacio Vallido</t>
  </si>
  <si>
    <t>Yenni Perrogon</t>
  </si>
  <si>
    <t>Oscar Betancourt</t>
  </si>
  <si>
    <t>Expensas de Junio y Julio/22</t>
  </si>
  <si>
    <t>Carmen Sonia Añez</t>
  </si>
  <si>
    <t>Expensas de Mayo/22</t>
  </si>
  <si>
    <t>Daniela Hurtado</t>
  </si>
  <si>
    <t>Gabriela Lazzo</t>
  </si>
  <si>
    <t>Edith Loma</t>
  </si>
  <si>
    <t>Paola Gomez</t>
  </si>
  <si>
    <t>Eliani Añez de Suarez</t>
  </si>
  <si>
    <t>Gabriel Vidaurre</t>
  </si>
  <si>
    <t>Lorena Landivar</t>
  </si>
  <si>
    <t>Jorge Siles</t>
  </si>
  <si>
    <t>Lorena Leigue</t>
  </si>
  <si>
    <t>María Norah Zubieta</t>
  </si>
  <si>
    <t>Ariel Ortega</t>
  </si>
  <si>
    <t>Sandra Bruno</t>
  </si>
  <si>
    <t>Edgar Romero</t>
  </si>
  <si>
    <t>Ruddy Paz</t>
  </si>
  <si>
    <t>Miguel Duran</t>
  </si>
  <si>
    <t>Expensas de Enero/22</t>
  </si>
  <si>
    <t>Andres Aguilera</t>
  </si>
  <si>
    <t>Maria Elena Mendez</t>
  </si>
  <si>
    <t>Veronica Rau Bora</t>
  </si>
  <si>
    <t>Expensas de noviembre Bs 800, diciembre Bs. 800/22; enero bs.800, febrero bs. 800, marzo bs.800, abril bs. 800, mayo bs. 700 y acuenta de junio bs. 500/22</t>
  </si>
  <si>
    <t>Urzula Echazu</t>
  </si>
  <si>
    <t>Expensas de abril/22</t>
  </si>
  <si>
    <t>Alexander Aguirre</t>
  </si>
  <si>
    <t>Oriana Hoyos</t>
  </si>
  <si>
    <t>Anulado</t>
  </si>
  <si>
    <t>Viviana Roca</t>
  </si>
  <si>
    <t>Expensas de abril, mayo, junio/22</t>
  </si>
  <si>
    <t>Alquiler del Area Social</t>
  </si>
  <si>
    <t>Cecilia Escribano</t>
  </si>
  <si>
    <t>Expensas de junio/22 (faltan 50)</t>
  </si>
  <si>
    <t>Expensas de julio/22 y 50 de junio/22</t>
  </si>
  <si>
    <t>Expensas de Agosto/22</t>
  </si>
  <si>
    <t>Total Bs.</t>
  </si>
  <si>
    <t>Informe de Egresos correspondiente a Julio/2022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</si>
  <si>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</si>
  <si>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</si>
  <si>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</si>
  <si>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</si>
  <si>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</si>
  <si>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</si>
  <si>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</si>
  <si>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</si>
  <si>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 junio/2022</t>
  </si>
  <si>
    <t>Limpieza Alejandra Rodriguez junio/2022</t>
  </si>
  <si>
    <t>Mantenimiento de piscina y jardineria junio/2022</t>
  </si>
  <si>
    <t>Empresa de Seguridad Centinelas  junio/2022</t>
  </si>
  <si>
    <t>INTERLOGY mantenimiento de elevadores   junio/2022</t>
  </si>
  <si>
    <t>SAGUAPAC junio/2022</t>
  </si>
  <si>
    <t>CRE junio/2022</t>
  </si>
  <si>
    <t>Gastos Varios</t>
  </si>
  <si>
    <t>Compra de material para los mesones de la churrasquera y trasnporte del matrial al condominio</t>
  </si>
  <si>
    <t>Alcides mano de obra 2 mesones para la churrasquera</t>
  </si>
  <si>
    <t>2821 - 17</t>
  </si>
  <si>
    <t>Compra de madera para el vaciado de los mesones de la churrasquera y transporte de la madera al condominio</t>
  </si>
  <si>
    <t>Compra de dos conos de seguridad vial de silicona de 90cm y transporte</t>
  </si>
  <si>
    <t>2770 - 19</t>
  </si>
  <si>
    <t>Compra de dos reflectores  para la terraza</t>
  </si>
  <si>
    <t>Instalación de dos pantallas, calbleado nuevo, reflectrores terraza mano de obra</t>
  </si>
  <si>
    <t>Instalación de dos aleros para los parqueos que son afectados por las palomas</t>
  </si>
  <si>
    <t>Instalación de 10pantallas led en la terraza</t>
  </si>
  <si>
    <t>1er pago por puesta de ceramica en los mesones de la churrasquera</t>
  </si>
  <si>
    <t>2do pago por puesta de ceramica en los mesones de la churrasquera</t>
  </si>
  <si>
    <t>Compra de 8 sillas altas para la churrasquera</t>
  </si>
  <si>
    <t>Caja Chica</t>
  </si>
  <si>
    <t>Compra de material de limpieza</t>
  </si>
  <si>
    <t>Transporte por compas de material de limpieza  y material de construcción y banco</t>
  </si>
  <si>
    <t>Esmerilado y señaleticas para el blindex de la entrada de la terrrqaza</t>
  </si>
  <si>
    <t>2771 - 21</t>
  </si>
  <si>
    <t>Compra de dos paneles led</t>
  </si>
  <si>
    <t>Transporte por dejar las tapas para los niños con cancer</t>
  </si>
  <si>
    <t>Compra de material para el calbleado nuevo de reflectrores terraza y transporte</t>
  </si>
  <si>
    <t>Compra de 22 ladrillos de adobito, bolsas de yute y transporte</t>
  </si>
  <si>
    <t>2844 - 27</t>
  </si>
  <si>
    <t>Compra de 10 paneles led para la terraza, cotización de sillas y ceramica</t>
  </si>
  <si>
    <t>316 - 37094</t>
  </si>
  <si>
    <t>Compra de ceramia para los mesones de la churrasquera y transporte</t>
  </si>
  <si>
    <t>5139 - 5737 - 6101- 6487</t>
  </si>
  <si>
    <t>Agua para porteria</t>
  </si>
  <si>
    <t>Compras para la inauguración y Reunión Inormativa II</t>
  </si>
  <si>
    <t>Total gastos caja chica</t>
  </si>
  <si>
    <t>Saldo caja chica efectivo</t>
  </si>
  <si>
    <t>TOTAL Bs.</t>
  </si>
  <si>
    <t>Estado Económico  Julio/22</t>
  </si>
  <si>
    <t>#</t>
  </si>
  <si>
    <t>DEPTO</t>
  </si>
  <si>
    <t>PROPIETARIO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</si>
  <si>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</si>
  <si>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</si>
  <si>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</si>
  <si>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</si>
  <si>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</si>
  <si>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</si>
  <si>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</si>
  <si>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</si>
  <si>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</si>
  <si>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</si>
  <si>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</si>
  <si>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</si>
  <si>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</si>
  <si>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</si>
  <si>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x</t>
  </si>
  <si>
    <t>Jose Vilagut</t>
  </si>
  <si>
    <t>Denhiz Soliz</t>
  </si>
  <si>
    <t>Vania Llanos</t>
  </si>
  <si>
    <t>Zulma Santander</t>
  </si>
  <si>
    <t>Rosa Cordero</t>
  </si>
  <si>
    <t>Yenny Perrogon</t>
  </si>
  <si>
    <t>Glora Vera Viaña</t>
  </si>
  <si>
    <t>Silvana Justianano</t>
  </si>
  <si>
    <t>Oscar Diego Leaños</t>
  </si>
  <si>
    <t>Maria Norah Zubieta</t>
  </si>
  <si>
    <t>Miguel Rivas/Veronica Rau</t>
  </si>
  <si>
    <t>Romana Barbery de Moreno</t>
  </si>
  <si>
    <t>Romana Beatriz Moreno</t>
  </si>
  <si>
    <t>Monica Sahonero</t>
  </si>
  <si>
    <t>Roxana de Payo- Fernando Payo</t>
  </si>
  <si>
    <t>Encarnacion Yamal</t>
  </si>
  <si>
    <t>Arturo Payo/Cecilia Escribano</t>
  </si>
  <si>
    <t xml:space="preserve">x </t>
  </si>
  <si>
    <t>Magali Sandi Encinas</t>
  </si>
  <si>
    <t>Gabiela Lazo</t>
  </si>
  <si>
    <t>Percy Christian Vega</t>
  </si>
  <si>
    <t>Daniela Hurtado/Christian Sanjinez</t>
  </si>
  <si>
    <t>Zunner Valverde</t>
  </si>
  <si>
    <t>Katitza Kubber</t>
  </si>
  <si>
    <t>Lorena Landivar/Alvaro Leigue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</si>
</sst>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11.0"/>
      <color rgb="FFFF0000"/>
      <name val="Calibri"/>
    </font>
    <font>
      <sz val="8.0"/>
      <color rgb="FFFF0000"/>
      <name val="Calibri"/>
    </font>
    <font>
      <sz val="9.0"/>
      <color rgb="FFFF0000"/>
      <name val="Calibri"/>
    </font>
    <font>
      <sz val="9.0"/>
      <color rgb="FF974806"/>
      <name val="Calibri"/>
    </font>
    <font>
      <sz val="9.0"/>
      <color rgb="FF205867"/>
      <name val="Calibri"/>
    </font>
    <font>
      <sz val="11.0"/>
      <color rgb="FF974806"/>
      <name val="Calibri"/>
    </font>
    <font>
      <sz val="11.0"/>
      <color rgb="FF205867"/>
      <name val="Calibri"/>
    </font>
  </fonts>
  <fills count="2">
    <fill>
      <patternFill patternType="none"/>
    </fill>
    <fill>
      <patternFill patternType="lightGray"/>
    </fill>
  </fills>
  <borders count="59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4" xfId="0" applyFont="1" applyNumberFormat="1"/>
    <xf borderId="0" fillId="0" fontId="5" numFmtId="0" xfId="0" applyFont="1"/>
    <xf borderId="0" fillId="0" fontId="6" numFmtId="0" xfId="0" applyFont="1"/>
    <xf borderId="1" fillId="0" fontId="4" numFmtId="4" xfId="0" applyBorder="1" applyFont="1" applyNumberFormat="1"/>
    <xf borderId="2" fillId="0" fontId="4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shrinkToFit="1" vertical="center" wrapText="0"/>
    </xf>
    <xf borderId="12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shrinkToFit="0" vertical="center" wrapText="1"/>
    </xf>
    <xf borderId="12" fillId="0" fontId="11" numFmtId="4" xfId="0" applyAlignment="1" applyBorder="1" applyFont="1" applyNumberFormat="1">
      <alignment horizontal="center" vertical="center"/>
    </xf>
    <xf borderId="13" fillId="0" fontId="11" numFmtId="4" xfId="0" applyAlignment="1" applyBorder="1" applyFont="1" applyNumberFormat="1">
      <alignment vertical="center"/>
    </xf>
    <xf borderId="12" fillId="0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2" fillId="0" fontId="1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4" fillId="0" fontId="11" numFmtId="0" xfId="0" applyAlignment="1" applyBorder="1" applyFont="1">
      <alignment horizontal="center" vertical="center"/>
    </xf>
    <xf borderId="12" fillId="0" fontId="11" numFmtId="4" xfId="0" applyAlignment="1" applyBorder="1" applyFont="1" applyNumberFormat="1">
      <alignment horizontal="center" shrinkToFit="0" vertical="center" wrapText="1"/>
    </xf>
    <xf borderId="15" fillId="0" fontId="11" numFmtId="4" xfId="0" applyAlignment="1" applyBorder="1" applyFont="1" applyNumberFormat="1">
      <alignment vertical="center"/>
    </xf>
    <xf borderId="16" fillId="0" fontId="12" numFmtId="1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1" numFmtId="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8" fillId="0" fontId="12" numFmtId="14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wrapText="1"/>
    </xf>
    <xf borderId="18" fillId="0" fontId="11" numFmtId="4" xfId="0" applyAlignment="1" applyBorder="1" applyFont="1" applyNumberFormat="1">
      <alignment horizontal="center" shrinkToFit="0" vertical="center" wrapText="1"/>
    </xf>
    <xf borderId="19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0" fillId="0" fontId="15" numFmtId="0" xfId="0" applyAlignment="1" applyBorder="1" applyFont="1">
      <alignment horizontal="center" vertical="center"/>
    </xf>
    <xf borderId="21" fillId="0" fontId="10" numFmtId="4" xfId="0" applyAlignment="1" applyBorder="1" applyFont="1" applyNumberFormat="1">
      <alignment vertical="center"/>
    </xf>
    <xf borderId="22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3" fillId="0" fontId="7" numFmtId="0" xfId="0" applyBorder="1" applyFont="1"/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Font="1"/>
    <xf borderId="0" fillId="0" fontId="4" numFmtId="0" xfId="0" applyAlignment="1" applyFont="1">
      <alignment horizontal="center" vertical="center"/>
    </xf>
    <xf borderId="0" fillId="0" fontId="18" numFmtId="0" xfId="0" applyFont="1"/>
    <xf borderId="0" fillId="0" fontId="19" numFmtId="0" xfId="0" applyAlignment="1" applyFont="1">
      <alignment horizontal="center"/>
    </xf>
    <xf borderId="0" fillId="0" fontId="15" numFmtId="0" xfId="0" applyFont="1"/>
    <xf borderId="0" fillId="0" fontId="2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4" fillId="0" fontId="21" numFmtId="0" xfId="0" applyAlignment="1" applyBorder="1" applyFont="1">
      <alignment horizontal="center" shrinkToFit="0" vertical="center" wrapText="1"/>
    </xf>
    <xf borderId="25" fillId="0" fontId="21" numFmtId="0" xfId="0" applyAlignment="1" applyBorder="1" applyFont="1">
      <alignment horizontal="center" shrinkToFit="0" vertical="center" wrapText="1"/>
    </xf>
    <xf borderId="26" fillId="0" fontId="21" numFmtId="0" xfId="0" applyAlignment="1" applyBorder="1" applyFont="1">
      <alignment horizontal="center" vertical="center"/>
    </xf>
    <xf borderId="27" fillId="0" fontId="21" numFmtId="0" xfId="0" applyAlignment="1" applyBorder="1" applyFont="1">
      <alignment horizontal="center"/>
    </xf>
    <xf borderId="26" fillId="0" fontId="7" numFmtId="0" xfId="0" applyBorder="1" applyFont="1"/>
    <xf borderId="0" fillId="0" fontId="21" numFmtId="0" xfId="0" applyAlignment="1" applyFont="1">
      <alignment horizontal="center"/>
    </xf>
    <xf borderId="20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25" fillId="0" fontId="21" numFmtId="0" xfId="0" applyAlignment="1" applyBorder="1" applyFont="1">
      <alignment horizontal="center"/>
    </xf>
    <xf borderId="24" fillId="0" fontId="22" numFmtId="0" xfId="0" applyAlignment="1" applyBorder="1" applyFont="1">
      <alignment horizontal="center" shrinkToFit="0" vertical="center" wrapText="1"/>
    </xf>
    <xf borderId="30" fillId="0" fontId="23" numFmtId="0" xfId="0" applyAlignment="1" applyBorder="1" applyFont="1">
      <alignment horizontal="center" shrinkToFit="0" vertical="center" wrapText="1"/>
    </xf>
    <xf borderId="31" fillId="0" fontId="23" numFmtId="0" xfId="0" applyAlignment="1" applyBorder="1" applyFont="1">
      <alignment vertical="center"/>
    </xf>
    <xf borderId="32" fillId="0" fontId="23" numFmtId="4" xfId="0" applyAlignment="1" applyBorder="1" applyFont="1" applyNumberFormat="1">
      <alignment horizontal="right" vertical="center"/>
    </xf>
    <xf borderId="25" fillId="0" fontId="22" numFmtId="4" xfId="0" applyAlignment="1" applyBorder="1" applyFont="1" applyNumberFormat="1">
      <alignment horizontal="center" vertical="center"/>
    </xf>
    <xf borderId="0" fillId="0" fontId="22" numFmtId="4" xfId="0" applyAlignment="1" applyFont="1" applyNumberFormat="1">
      <alignment horizontal="center" vertical="center"/>
    </xf>
    <xf borderId="33" fillId="0" fontId="23" numFmtId="0" xfId="0" applyAlignment="1" applyBorder="1" applyFont="1">
      <alignment horizontal="center" shrinkToFit="0" vertical="center" wrapText="1"/>
    </xf>
    <xf borderId="34" fillId="0" fontId="23" numFmtId="0" xfId="0" applyBorder="1" applyFont="1"/>
    <xf borderId="35" fillId="0" fontId="23" numFmtId="4" xfId="0" applyAlignment="1" applyBorder="1" applyFont="1" applyNumberFormat="1">
      <alignment horizontal="right" vertical="center"/>
    </xf>
    <xf borderId="36" fillId="0" fontId="7" numFmtId="0" xfId="0" applyBorder="1" applyFont="1"/>
    <xf borderId="5" fillId="0" fontId="23" numFmtId="0" xfId="0" applyBorder="1" applyFont="1"/>
    <xf borderId="3" fillId="0" fontId="23" numFmtId="4" xfId="0" applyAlignment="1" applyBorder="1" applyFont="1" applyNumberFormat="1">
      <alignment horizontal="right" vertical="center"/>
    </xf>
    <xf borderId="37" fillId="0" fontId="23" numFmtId="0" xfId="0" applyAlignment="1" applyBorder="1" applyFont="1">
      <alignment horizontal="center" shrinkToFit="0" vertical="center" wrapText="1"/>
    </xf>
    <xf borderId="38" fillId="0" fontId="23" numFmtId="0" xfId="0" applyBorder="1" applyFont="1"/>
    <xf borderId="39" fillId="0" fontId="23" numFmtId="4" xfId="0" applyAlignment="1" applyBorder="1" applyFont="1" applyNumberFormat="1">
      <alignment horizontal="right" vertical="center"/>
    </xf>
    <xf borderId="21" fillId="0" fontId="7" numFmtId="0" xfId="0" applyBorder="1" applyFont="1"/>
    <xf borderId="31" fillId="0" fontId="23" numFmtId="0" xfId="0" applyBorder="1" applyFont="1"/>
    <xf borderId="17" fillId="0" fontId="23" numFmtId="0" xfId="0" applyBorder="1" applyFont="1"/>
    <xf borderId="19" fillId="0" fontId="23" numFmtId="4" xfId="0" applyAlignment="1" applyBorder="1" applyFont="1" applyNumberFormat="1">
      <alignment horizontal="right" vertical="center"/>
    </xf>
    <xf borderId="25" fillId="0" fontId="22" numFmtId="0" xfId="0" applyAlignment="1" applyBorder="1" applyFont="1">
      <alignment horizontal="center" vertical="center"/>
    </xf>
    <xf borderId="30" fillId="0" fontId="23" numFmtId="0" xfId="0" applyAlignment="1" applyBorder="1" applyFont="1">
      <alignment horizontal="center" vertical="center"/>
    </xf>
    <xf borderId="34" fillId="0" fontId="23" numFmtId="0" xfId="0" applyAlignment="1" applyBorder="1" applyFont="1">
      <alignment shrinkToFit="0" vertical="center" wrapText="1"/>
    </xf>
    <xf borderId="40" fillId="0" fontId="23" numFmtId="4" xfId="0" applyAlignment="1" applyBorder="1" applyFont="1" applyNumberFormat="1">
      <alignment horizontal="right" vertical="center"/>
    </xf>
    <xf borderId="0" fillId="0" fontId="23" numFmtId="4" xfId="0" applyAlignment="1" applyFont="1" applyNumberFormat="1">
      <alignment horizontal="right" vertical="center"/>
    </xf>
    <xf borderId="33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shrinkToFit="0" vertical="center" wrapText="1"/>
    </xf>
    <xf borderId="5" fillId="0" fontId="23" numFmtId="0" xfId="0" applyAlignment="1" applyBorder="1" applyFont="1">
      <alignment shrinkToFit="0" wrapText="1"/>
    </xf>
    <xf borderId="0" fillId="0" fontId="24" numFmtId="0" xfId="0" applyFont="1"/>
    <xf borderId="41" fillId="0" fontId="23" numFmtId="0" xfId="0" applyAlignment="1" applyBorder="1" applyFont="1">
      <alignment shrinkToFit="0" vertical="center" wrapText="1"/>
    </xf>
    <xf borderId="42" fillId="0" fontId="23" numFmtId="4" xfId="0" applyAlignment="1" applyBorder="1" applyFont="1" applyNumberFormat="1">
      <alignment horizontal="right" vertical="center"/>
    </xf>
    <xf borderId="13" fillId="0" fontId="23" numFmtId="4" xfId="0" applyAlignment="1" applyBorder="1" applyFont="1" applyNumberFormat="1">
      <alignment horizontal="right" vertical="center"/>
    </xf>
    <xf borderId="43" fillId="0" fontId="23" numFmtId="0" xfId="0" applyAlignment="1" applyBorder="1" applyFont="1">
      <alignment shrinkToFit="0" wrapText="1"/>
    </xf>
    <xf borderId="44" fillId="0" fontId="23" numFmtId="4" xfId="0" applyAlignment="1" applyBorder="1" applyFont="1" applyNumberFormat="1">
      <alignment horizontal="right" vertical="center"/>
    </xf>
    <xf borderId="37" fillId="0" fontId="23" numFmtId="0" xfId="0" applyAlignment="1" applyBorder="1" applyFont="1">
      <alignment horizontal="center" vertical="center"/>
    </xf>
    <xf borderId="36" fillId="0" fontId="22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vertical="center"/>
    </xf>
    <xf borderId="45" fillId="0" fontId="22" numFmtId="0" xfId="0" applyBorder="1" applyFont="1"/>
    <xf borderId="46" fillId="0" fontId="22" numFmtId="4" xfId="0" applyAlignment="1" applyBorder="1" applyFont="1" applyNumberFormat="1">
      <alignment horizontal="right" vertical="center"/>
    </xf>
    <xf borderId="21" fillId="0" fontId="22" numFmtId="4" xfId="0" applyAlignment="1" applyBorder="1" applyFont="1" applyNumberFormat="1">
      <alignment horizontal="center" vertical="center"/>
    </xf>
    <xf borderId="28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vertical="center"/>
    </xf>
    <xf borderId="2" fillId="0" fontId="23" numFmtId="4" xfId="0" applyAlignment="1" applyBorder="1" applyFont="1" applyNumberFormat="1">
      <alignment horizontal="right" vertical="center"/>
    </xf>
    <xf borderId="41" fillId="0" fontId="23" numFmtId="0" xfId="0" applyAlignment="1" applyBorder="1" applyFont="1">
      <alignment shrinkToFit="0" wrapText="1"/>
    </xf>
    <xf borderId="11" fillId="0" fontId="23" numFmtId="0" xfId="0" applyAlignment="1" applyBorder="1" applyFont="1">
      <alignment shrinkToFit="0" vertical="center" wrapText="1"/>
    </xf>
    <xf borderId="47" fillId="0" fontId="23" numFmtId="0" xfId="0" applyAlignment="1" applyBorder="1" applyFont="1">
      <alignment horizontal="center" vertical="center"/>
    </xf>
    <xf borderId="38" fillId="0" fontId="23" numFmtId="0" xfId="0" applyAlignment="1" applyBorder="1" applyFont="1">
      <alignment shrinkToFit="0" vertical="center" wrapText="1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48" fillId="0" fontId="22" numFmtId="0" xfId="0" applyBorder="1" applyFont="1"/>
    <xf borderId="49" fillId="0" fontId="22" numFmtId="4" xfId="0" applyAlignment="1" applyBorder="1" applyFont="1" applyNumberFormat="1">
      <alignment horizontal="right" vertical="center"/>
    </xf>
    <xf borderId="50" fillId="0" fontId="22" numFmtId="0" xfId="0" applyAlignment="1" applyBorder="1" applyFont="1">
      <alignment horizontal="right"/>
    </xf>
    <xf borderId="6" fillId="0" fontId="22" numFmtId="4" xfId="0" applyBorder="1" applyFont="1" applyNumberFormat="1"/>
    <xf borderId="0" fillId="0" fontId="22" numFmtId="0" xfId="0" applyFont="1"/>
    <xf borderId="0" fillId="0" fontId="23" numFmtId="0" xfId="0" applyAlignment="1" applyFont="1">
      <alignment horizontal="center"/>
    </xf>
    <xf borderId="22" fillId="0" fontId="22" numFmtId="0" xfId="0" applyAlignment="1" applyBorder="1" applyFont="1">
      <alignment horizontal="center" vertical="center"/>
    </xf>
    <xf borderId="1" fillId="0" fontId="7" numFmtId="0" xfId="0" applyBorder="1" applyFont="1"/>
    <xf borderId="23" fillId="0" fontId="22" numFmtId="4" xfId="0" applyAlignment="1" applyBorder="1" applyFont="1" applyNumberFormat="1">
      <alignment horizontal="center" vertical="center"/>
    </xf>
    <xf borderId="0" fillId="0" fontId="4" numFmtId="4" xfId="0" applyAlignment="1" applyFont="1" applyNumberFormat="1">
      <alignment horizontal="right" vertical="center"/>
    </xf>
    <xf borderId="0" fillId="0" fontId="1" numFmtId="4" xfId="0" applyFont="1" applyNumberFormat="1"/>
    <xf borderId="0" fillId="0" fontId="1" numFmtId="0" xfId="0" applyFont="1"/>
    <xf borderId="50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51" fillId="0" fontId="22" numFmtId="0" xfId="0" applyAlignment="1" applyBorder="1" applyFont="1">
      <alignment horizontal="center"/>
    </xf>
    <xf borderId="52" fillId="0" fontId="22" numFmtId="0" xfId="0" applyAlignment="1" applyBorder="1" applyFont="1">
      <alignment horizontal="center"/>
    </xf>
    <xf borderId="25" fillId="0" fontId="23" numFmtId="4" xfId="0" applyAlignment="1" applyBorder="1" applyFont="1" applyNumberFormat="1">
      <alignment horizontal="center" vertical="center"/>
    </xf>
    <xf borderId="25" fillId="0" fontId="23" numFmtId="0" xfId="0" applyAlignment="1" applyBorder="1" applyFont="1">
      <alignment horizontal="center" vertical="center"/>
    </xf>
    <xf borderId="53" fillId="0" fontId="23" numFmtId="0" xfId="0" applyAlignment="1" applyBorder="1" applyFont="1">
      <alignment horizontal="center" vertical="center"/>
    </xf>
    <xf borderId="53" fillId="0" fontId="23" numFmtId="0" xfId="0" applyAlignment="1" applyBorder="1" applyFont="1">
      <alignment horizontal="left" vertical="center"/>
    </xf>
    <xf borderId="8" fillId="0" fontId="23" numFmtId="0" xfId="0" applyAlignment="1" applyBorder="1" applyFont="1">
      <alignment horizontal="center"/>
    </xf>
    <xf borderId="9" fillId="0" fontId="23" numFmtId="0" xfId="0" applyAlignment="1" applyBorder="1" applyFont="1">
      <alignment horizontal="center"/>
    </xf>
    <xf borderId="54" fillId="0" fontId="23" numFmtId="0" xfId="0" applyAlignment="1" applyBorder="1" applyFont="1">
      <alignment horizontal="center"/>
    </xf>
    <xf borderId="32" fillId="0" fontId="23" numFmtId="0" xfId="0" applyAlignment="1" applyBorder="1" applyFont="1">
      <alignment horizontal="center"/>
    </xf>
    <xf borderId="8" fillId="0" fontId="1" numFmtId="4" xfId="0" applyBorder="1" applyFont="1" applyNumberFormat="1"/>
    <xf borderId="10" fillId="0" fontId="1" numFmtId="4" xfId="0" applyBorder="1" applyFont="1" applyNumberFormat="1"/>
    <xf borderId="0" fillId="0" fontId="25" numFmtId="0" xfId="0" applyFont="1"/>
    <xf borderId="55" fillId="0" fontId="23" numFmtId="0" xfId="0" applyAlignment="1" applyBorder="1" applyFont="1">
      <alignment horizontal="center" vertical="center"/>
    </xf>
    <xf borderId="55" fillId="0" fontId="23" numFmtId="0" xfId="0" applyAlignment="1" applyBorder="1" applyFont="1">
      <alignment horizontal="left" vertical="center"/>
    </xf>
    <xf borderId="11" fillId="0" fontId="23" numFmtId="0" xfId="0" applyAlignment="1" applyBorder="1" applyFont="1">
      <alignment horizontal="center"/>
    </xf>
    <xf borderId="12" fillId="0" fontId="23" numFmtId="0" xfId="0" applyAlignment="1" applyBorder="1" applyFont="1">
      <alignment horizontal="center"/>
    </xf>
    <xf borderId="3" fillId="0" fontId="23" numFmtId="0" xfId="0" applyAlignment="1" applyBorder="1" applyFont="1">
      <alignment horizontal="center"/>
    </xf>
    <xf borderId="11" fillId="0" fontId="1" numFmtId="4" xfId="0" applyBorder="1" applyFont="1" applyNumberFormat="1"/>
    <xf borderId="13" fillId="0" fontId="1" numFmtId="4" xfId="0" applyBorder="1" applyFont="1" applyNumberFormat="1"/>
    <xf borderId="55" fillId="0" fontId="23" numFmtId="0" xfId="0" applyAlignment="1" applyBorder="1" applyFont="1">
      <alignment horizontal="left" shrinkToFit="0" vertical="center" wrapText="1"/>
    </xf>
    <xf borderId="0" fillId="0" fontId="4" numFmtId="0" xfId="0" applyFont="1"/>
    <xf borderId="55" fillId="0" fontId="26" numFmtId="0" xfId="0" applyAlignment="1" applyBorder="1" applyFont="1">
      <alignment horizontal="center" vertical="center"/>
    </xf>
    <xf borderId="33" fillId="0" fontId="26" numFmtId="0" xfId="0" applyAlignment="1" applyBorder="1" applyFont="1">
      <alignment horizontal="center" vertical="center"/>
    </xf>
    <xf borderId="55" fillId="0" fontId="26" numFmtId="0" xfId="0" applyAlignment="1" applyBorder="1" applyFont="1">
      <alignment horizontal="left" vertical="center"/>
    </xf>
    <xf borderId="11" fillId="0" fontId="26" numFmtId="3" xfId="0" applyAlignment="1" applyBorder="1" applyFont="1" applyNumberFormat="1">
      <alignment horizontal="center"/>
    </xf>
    <xf borderId="12" fillId="0" fontId="26" numFmtId="0" xfId="0" applyAlignment="1" applyBorder="1" applyFont="1">
      <alignment horizontal="center"/>
    </xf>
    <xf borderId="3" fillId="0" fontId="26" numFmtId="0" xfId="0" applyAlignment="1" applyBorder="1" applyFont="1">
      <alignment horizontal="center"/>
    </xf>
    <xf borderId="11" fillId="0" fontId="27" numFmtId="4" xfId="0" applyBorder="1" applyFont="1" applyNumberFormat="1"/>
    <xf borderId="13" fillId="0" fontId="27" numFmtId="4" xfId="0" applyBorder="1" applyFont="1" applyNumberFormat="1"/>
    <xf borderId="0" fillId="0" fontId="28" numFmtId="3" xfId="0" applyFont="1" applyNumberFormat="1"/>
    <xf borderId="56" fillId="0" fontId="23" numFmtId="0" xfId="0" applyAlignment="1" applyBorder="1" applyFont="1">
      <alignment horizontal="center" vertical="center"/>
    </xf>
    <xf borderId="56" fillId="0" fontId="23" numFmtId="0" xfId="0" applyAlignment="1" applyBorder="1" applyFont="1">
      <alignment horizontal="left" vertical="center"/>
    </xf>
    <xf borderId="17" fillId="0" fontId="23" numFmtId="0" xfId="0" applyAlignment="1" applyBorder="1" applyFont="1">
      <alignment horizontal="center"/>
    </xf>
    <xf borderId="18" fillId="0" fontId="23" numFmtId="0" xfId="0" applyAlignment="1" applyBorder="1" applyFont="1">
      <alignment horizontal="center"/>
    </xf>
    <xf borderId="57" fillId="0" fontId="23" numFmtId="0" xfId="0" applyAlignment="1" applyBorder="1" applyFont="1">
      <alignment horizontal="center"/>
    </xf>
    <xf borderId="39" fillId="0" fontId="23" numFmtId="0" xfId="0" applyAlignment="1" applyBorder="1" applyFont="1">
      <alignment horizontal="center"/>
    </xf>
    <xf borderId="17" fillId="0" fontId="1" numFmtId="4" xfId="0" applyBorder="1" applyFont="1" applyNumberFormat="1"/>
    <xf borderId="19" fillId="0" fontId="1" numFmtId="4" xfId="0" applyBorder="1" applyFont="1" applyNumberFormat="1"/>
    <xf borderId="0" fillId="0" fontId="29" numFmtId="3" xfId="0" applyFont="1" applyNumberFormat="1"/>
    <xf borderId="0" fillId="0" fontId="23" numFmtId="0" xfId="0" applyFont="1"/>
    <xf borderId="58" fillId="0" fontId="22" numFmtId="0" xfId="0" applyAlignment="1" applyBorder="1" applyFont="1">
      <alignment horizontal="center"/>
    </xf>
    <xf borderId="46" fillId="0" fontId="22" numFmtId="0" xfId="0" applyAlignment="1" applyBorder="1" applyFont="1">
      <alignment horizontal="center"/>
    </xf>
    <xf borderId="0" fillId="0" fontId="21" numFmtId="4" xfId="0" applyAlignment="1" applyFont="1" applyNumberFormat="1">
      <alignment horizontal="center"/>
    </xf>
    <xf borderId="0" fillId="0" fontId="30" numFmtId="0" xfId="0" applyFont="1"/>
    <xf borderId="0" fillId="0" fontId="3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H6" s="4"/>
      <c r="I6" s="4"/>
    </row>
    <row r="7">
      <c r="F7" s="4"/>
      <c r="H7" s="5"/>
      <c r="I7" s="5"/>
    </row>
    <row r="8">
      <c r="B8" s="6" t="s">
        <v>4</v>
      </c>
      <c r="F8" s="4"/>
    </row>
    <row r="9">
      <c r="F9" s="4"/>
    </row>
    <row r="10">
      <c r="B10" s="7" t="s">
        <v>5</v>
      </c>
      <c r="F10" s="5">
        <v>43209.36</v>
      </c>
    </row>
    <row r="11">
      <c r="B11" s="7" t="s">
        <v>6</v>
      </c>
      <c r="F11" s="7">
        <v>6.97</v>
      </c>
    </row>
    <row r="12">
      <c r="B12" s="7" t="s">
        <v>7</v>
      </c>
      <c r="F12" s="4">
        <f>SUM(Ingresos!G44)</f>
        <v>31450</v>
      </c>
      <c r="G12" s="7" t="s">
        <v>8</v>
      </c>
    </row>
    <row r="13">
      <c r="B13" s="7" t="s">
        <v>9</v>
      </c>
      <c r="F13" s="4">
        <f>SUM(Ingresos!H44)</f>
        <v>100</v>
      </c>
    </row>
    <row r="14" ht="6.75" customHeight="1">
      <c r="F14" s="8"/>
    </row>
    <row r="15">
      <c r="C15" s="6" t="s">
        <v>10</v>
      </c>
      <c r="D15" s="6"/>
      <c r="E15" s="6"/>
      <c r="F15" s="5">
        <f>SUM(F10:F14)</f>
        <v>74766.33</v>
      </c>
    </row>
    <row r="16">
      <c r="F16" s="4"/>
    </row>
    <row r="17">
      <c r="F17" s="4"/>
    </row>
    <row r="18">
      <c r="B18" s="6" t="s">
        <v>11</v>
      </c>
      <c r="F18" s="4"/>
    </row>
    <row r="19">
      <c r="B19" s="7" t="s">
        <v>12</v>
      </c>
      <c r="F19" s="4">
        <f>SUM(Egresos!D8)</f>
        <v>3000</v>
      </c>
    </row>
    <row r="20">
      <c r="B20" s="7" t="s">
        <v>13</v>
      </c>
      <c r="F20" s="4">
        <f>SUM(Egresos!D9)</f>
        <v>2400</v>
      </c>
    </row>
    <row r="21" ht="15.75" customHeight="1">
      <c r="B21" s="7" t="s">
        <v>14</v>
      </c>
      <c r="F21" s="4">
        <f>SUM(Egresos!D10)</f>
        <v>800</v>
      </c>
      <c r="H21" s="7" t="s">
        <v>8</v>
      </c>
      <c r="I21" s="4"/>
    </row>
    <row r="22" ht="15.75" customHeight="1">
      <c r="B22" s="7" t="s">
        <v>15</v>
      </c>
      <c r="F22" s="4">
        <f>SUM(Egresos!D11)</f>
        <v>7400</v>
      </c>
      <c r="I22" s="4"/>
    </row>
    <row r="23" ht="15.75" customHeight="1">
      <c r="B23" s="7" t="s">
        <v>16</v>
      </c>
      <c r="F23" s="4">
        <f>SUM(Egresos!D12)</f>
        <v>1252.81</v>
      </c>
    </row>
    <row r="24" ht="15.75" customHeight="1">
      <c r="F24" s="4"/>
    </row>
    <row r="25" ht="15.75" customHeight="1">
      <c r="B25" s="7" t="s">
        <v>17</v>
      </c>
      <c r="F25" s="4">
        <f>SUM(Egresos!D13)</f>
        <v>5294.5</v>
      </c>
    </row>
    <row r="26" ht="15.75" customHeight="1">
      <c r="B26" s="7" t="s">
        <v>18</v>
      </c>
      <c r="F26" s="4">
        <f>SUM(Egresos!D14)</f>
        <v>1558.2</v>
      </c>
    </row>
    <row r="27" ht="15.75" customHeight="1">
      <c r="F27" s="4"/>
    </row>
    <row r="28" ht="15.75" customHeight="1">
      <c r="B28" s="7" t="s">
        <v>19</v>
      </c>
      <c r="F28" s="4">
        <f>SUM(Egresos!E15)</f>
        <v>7674</v>
      </c>
    </row>
    <row r="29" ht="15.75" customHeight="1">
      <c r="B29" s="4" t="s">
        <v>20</v>
      </c>
      <c r="F29" s="9">
        <f>SUM(Egresos!E27)</f>
        <v>2181.6</v>
      </c>
    </row>
    <row r="30" ht="15.75" customHeight="1"/>
    <row r="31" ht="15.75" customHeight="1">
      <c r="C31" s="6" t="s">
        <v>21</v>
      </c>
      <c r="F31" s="5">
        <f>SUM(F19:F29)</f>
        <v>31561.11</v>
      </c>
    </row>
    <row r="32" ht="15.75" customHeight="1">
      <c r="F32" s="4"/>
    </row>
    <row r="33" ht="15.75" customHeight="1">
      <c r="F33" s="4"/>
    </row>
    <row r="34" ht="15.75" customHeight="1">
      <c r="C34" s="6"/>
      <c r="D34" s="6" t="s">
        <v>22</v>
      </c>
      <c r="E34" s="6"/>
      <c r="F34" s="5">
        <f>SUM(F15)-F31</f>
        <v>43205.22</v>
      </c>
    </row>
    <row r="35" ht="15.75" customHeight="1">
      <c r="F35" s="4"/>
    </row>
    <row r="36" ht="15.75" customHeight="1">
      <c r="F36" s="4"/>
    </row>
    <row r="37" ht="15.75" customHeight="1">
      <c r="C37" s="7" t="s">
        <v>6</v>
      </c>
      <c r="F37" s="4">
        <f>SUM(F34)-F38</f>
        <v>70.49</v>
      </c>
    </row>
    <row r="38" ht="15.75" customHeight="1">
      <c r="C38" s="7" t="s">
        <v>23</v>
      </c>
      <c r="F38" s="5">
        <v>43134.73</v>
      </c>
    </row>
    <row r="39" ht="15.75" customHeight="1">
      <c r="F39" s="4"/>
    </row>
    <row r="40" ht="24.75" customHeight="1">
      <c r="C40" s="10" t="s">
        <v>24</v>
      </c>
      <c r="D40" s="11"/>
      <c r="E40" s="11"/>
      <c r="F40" s="12">
        <f>SUM(F37:F39)</f>
        <v>43205.22</v>
      </c>
    </row>
    <row r="41" ht="17.2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0:E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3" t="s">
        <v>25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26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9.25" customHeight="1">
      <c r="A4" s="15" t="s">
        <v>27</v>
      </c>
      <c r="B4" s="16" t="s">
        <v>28</v>
      </c>
      <c r="C4" s="15" t="s">
        <v>29</v>
      </c>
      <c r="D4" s="15" t="s">
        <v>30</v>
      </c>
      <c r="E4" s="17" t="s">
        <v>31</v>
      </c>
      <c r="F4" s="16" t="s">
        <v>32</v>
      </c>
      <c r="G4" s="17" t="s">
        <v>33</v>
      </c>
      <c r="H4" s="17" t="s">
        <v>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8">
        <v>1.0</v>
      </c>
      <c r="B5" s="19">
        <v>44744.0</v>
      </c>
      <c r="C5" s="20" t="s">
        <v>34</v>
      </c>
      <c r="D5" s="21">
        <v>703.0</v>
      </c>
      <c r="E5" s="22">
        <v>2376.0</v>
      </c>
      <c r="F5" s="23" t="s">
        <v>35</v>
      </c>
      <c r="G5" s="24">
        <v>650.0</v>
      </c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6.5" customHeight="1">
      <c r="A6" s="27">
        <v>2.0</v>
      </c>
      <c r="B6" s="28">
        <v>44744.0</v>
      </c>
      <c r="C6" s="29" t="s">
        <v>36</v>
      </c>
      <c r="D6" s="30">
        <v>804.0</v>
      </c>
      <c r="E6" s="31">
        <v>2377.0</v>
      </c>
      <c r="F6" s="32" t="s">
        <v>35</v>
      </c>
      <c r="G6" s="33">
        <v>650.0</v>
      </c>
      <c r="H6" s="34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6.5" customHeight="1">
      <c r="A7" s="27">
        <v>3.0</v>
      </c>
      <c r="B7" s="28">
        <v>44744.0</v>
      </c>
      <c r="C7" s="35" t="s">
        <v>37</v>
      </c>
      <c r="D7" s="30">
        <v>702.0</v>
      </c>
      <c r="E7" s="31">
        <v>2378.0</v>
      </c>
      <c r="F7" s="32" t="s">
        <v>38</v>
      </c>
      <c r="G7" s="33">
        <v>650.0</v>
      </c>
      <c r="H7" s="34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6.5" customHeight="1">
      <c r="A8" s="27">
        <v>4.0</v>
      </c>
      <c r="B8" s="28">
        <v>44744.0</v>
      </c>
      <c r="C8" s="35" t="s">
        <v>39</v>
      </c>
      <c r="D8" s="30">
        <v>402.0</v>
      </c>
      <c r="E8" s="31">
        <v>2379.0</v>
      </c>
      <c r="F8" s="32" t="s">
        <v>35</v>
      </c>
      <c r="G8" s="33">
        <v>650.0</v>
      </c>
      <c r="H8" s="34"/>
      <c r="I8" s="3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6.5" customHeight="1">
      <c r="A9" s="27">
        <v>5.0</v>
      </c>
      <c r="B9" s="28">
        <v>44744.0</v>
      </c>
      <c r="C9" s="35" t="s">
        <v>40</v>
      </c>
      <c r="D9" s="30">
        <v>303.0</v>
      </c>
      <c r="E9" s="31">
        <v>2380.0</v>
      </c>
      <c r="F9" s="32" t="s">
        <v>41</v>
      </c>
      <c r="G9" s="33">
        <v>1400.0</v>
      </c>
      <c r="H9" s="34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7.25" customHeight="1">
      <c r="A10" s="27">
        <v>6.0</v>
      </c>
      <c r="B10" s="28">
        <v>44746.0</v>
      </c>
      <c r="C10" s="29" t="s">
        <v>42</v>
      </c>
      <c r="D10" s="30">
        <v>602.0</v>
      </c>
      <c r="E10" s="31">
        <v>2381.0</v>
      </c>
      <c r="F10" s="32" t="s">
        <v>38</v>
      </c>
      <c r="G10" s="33">
        <v>500.0</v>
      </c>
      <c r="H10" s="34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6.5" customHeight="1">
      <c r="A11" s="27">
        <v>7.0</v>
      </c>
      <c r="B11" s="28">
        <v>44746.0</v>
      </c>
      <c r="C11" s="29" t="s">
        <v>43</v>
      </c>
      <c r="D11" s="30">
        <v>204.0</v>
      </c>
      <c r="E11" s="31">
        <v>2382.0</v>
      </c>
      <c r="F11" s="32" t="s">
        <v>38</v>
      </c>
      <c r="G11" s="33">
        <v>650.0</v>
      </c>
      <c r="H11" s="34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6.5" customHeight="1">
      <c r="A12" s="27">
        <v>8.0</v>
      </c>
      <c r="B12" s="28">
        <v>44746.0</v>
      </c>
      <c r="C12" s="29" t="s">
        <v>43</v>
      </c>
      <c r="D12" s="30">
        <v>603.0</v>
      </c>
      <c r="E12" s="31">
        <v>2383.0</v>
      </c>
      <c r="F12" s="32" t="s">
        <v>38</v>
      </c>
      <c r="G12" s="33">
        <v>650.0</v>
      </c>
      <c r="H12" s="34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7.25" customHeight="1">
      <c r="A13" s="27">
        <v>9.0</v>
      </c>
      <c r="B13" s="28">
        <v>44746.0</v>
      </c>
      <c r="C13" s="35" t="s">
        <v>44</v>
      </c>
      <c r="D13" s="30">
        <v>902.0</v>
      </c>
      <c r="E13" s="31">
        <v>2384.0</v>
      </c>
      <c r="F13" s="32" t="s">
        <v>45</v>
      </c>
      <c r="G13" s="33">
        <v>1000.0</v>
      </c>
      <c r="H13" s="34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6.5" customHeight="1">
      <c r="A14" s="27">
        <v>10.0</v>
      </c>
      <c r="B14" s="28">
        <v>44747.0</v>
      </c>
      <c r="C14" s="35" t="s">
        <v>46</v>
      </c>
      <c r="D14" s="30">
        <v>903.0</v>
      </c>
      <c r="E14" s="31">
        <v>2385.0</v>
      </c>
      <c r="F14" s="32" t="s">
        <v>47</v>
      </c>
      <c r="G14" s="33">
        <v>650.0</v>
      </c>
      <c r="H14" s="34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6.5" customHeight="1">
      <c r="A15" s="27">
        <v>11.0</v>
      </c>
      <c r="B15" s="28">
        <v>44747.0</v>
      </c>
      <c r="C15" s="35" t="s">
        <v>48</v>
      </c>
      <c r="D15" s="30">
        <v>1001.0</v>
      </c>
      <c r="E15" s="37">
        <v>2386.0</v>
      </c>
      <c r="F15" s="32" t="s">
        <v>35</v>
      </c>
      <c r="G15" s="33">
        <v>650.0</v>
      </c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6.5" customHeight="1">
      <c r="A16" s="27">
        <v>12.0</v>
      </c>
      <c r="B16" s="28">
        <v>44747.0</v>
      </c>
      <c r="C16" s="35" t="s">
        <v>49</v>
      </c>
      <c r="D16" s="30">
        <v>901.0</v>
      </c>
      <c r="E16" s="37">
        <v>2387.0</v>
      </c>
      <c r="F16" s="32" t="s">
        <v>38</v>
      </c>
      <c r="G16" s="33">
        <v>650.0</v>
      </c>
      <c r="H16" s="34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8.75" customHeight="1">
      <c r="A17" s="27">
        <v>13.0</v>
      </c>
      <c r="B17" s="28">
        <v>44747.0</v>
      </c>
      <c r="C17" s="29" t="s">
        <v>50</v>
      </c>
      <c r="D17" s="30">
        <v>503.0</v>
      </c>
      <c r="E17" s="31">
        <v>2388.0</v>
      </c>
      <c r="F17" s="32" t="s">
        <v>38</v>
      </c>
      <c r="G17" s="33">
        <v>650.0</v>
      </c>
      <c r="H17" s="34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6.5" customHeight="1">
      <c r="A18" s="27">
        <v>14.0</v>
      </c>
      <c r="B18" s="28">
        <v>44747.0</v>
      </c>
      <c r="C18" s="29" t="s">
        <v>51</v>
      </c>
      <c r="D18" s="30">
        <v>801.0</v>
      </c>
      <c r="E18" s="37">
        <v>2389.0</v>
      </c>
      <c r="F18" s="32" t="s">
        <v>35</v>
      </c>
      <c r="G18" s="33">
        <v>650.0</v>
      </c>
      <c r="H18" s="34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6.5" customHeight="1">
      <c r="A19" s="27">
        <v>15.0</v>
      </c>
      <c r="B19" s="28">
        <v>44747.0</v>
      </c>
      <c r="C19" s="29" t="s">
        <v>52</v>
      </c>
      <c r="D19" s="30">
        <v>803.0</v>
      </c>
      <c r="E19" s="37">
        <v>2390.0</v>
      </c>
      <c r="F19" s="32" t="s">
        <v>35</v>
      </c>
      <c r="G19" s="33">
        <v>650.0</v>
      </c>
      <c r="H19" s="34"/>
      <c r="I19" s="26"/>
      <c r="J19" s="38"/>
      <c r="K19" s="38"/>
      <c r="L19" s="38"/>
      <c r="M19" s="38"/>
      <c r="N19" s="38"/>
      <c r="O19" s="38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7">
        <v>16.0</v>
      </c>
      <c r="B20" s="28">
        <v>44747.0</v>
      </c>
      <c r="C20" s="35" t="s">
        <v>53</v>
      </c>
      <c r="D20" s="30">
        <v>104.0</v>
      </c>
      <c r="E20" s="37">
        <v>2391.0</v>
      </c>
      <c r="F20" s="32" t="s">
        <v>35</v>
      </c>
      <c r="G20" s="33">
        <v>650.0</v>
      </c>
      <c r="H20" s="34"/>
      <c r="I20" s="26"/>
      <c r="J20" s="38"/>
      <c r="K20" s="38"/>
      <c r="L20" s="38"/>
      <c r="M20" s="38"/>
      <c r="N20" s="38"/>
      <c r="O20" s="38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6.5" customHeight="1">
      <c r="A21" s="27">
        <v>17.0</v>
      </c>
      <c r="B21" s="28">
        <v>44747.0</v>
      </c>
      <c r="C21" s="35" t="s">
        <v>54</v>
      </c>
      <c r="D21" s="30">
        <v>1004.0</v>
      </c>
      <c r="E21" s="37">
        <v>2392.0</v>
      </c>
      <c r="F21" s="32" t="s">
        <v>35</v>
      </c>
      <c r="G21" s="33">
        <v>650.0</v>
      </c>
      <c r="H21" s="34"/>
      <c r="I21" s="26"/>
      <c r="J21" s="38"/>
      <c r="K21" s="38"/>
      <c r="L21" s="38"/>
      <c r="M21" s="38"/>
      <c r="N21" s="38"/>
      <c r="O21" s="38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9.5" customHeight="1">
      <c r="A22" s="27">
        <v>18.0</v>
      </c>
      <c r="B22" s="28">
        <v>44747.0</v>
      </c>
      <c r="C22" s="35" t="s">
        <v>55</v>
      </c>
      <c r="D22" s="30">
        <v>304.0</v>
      </c>
      <c r="E22" s="37">
        <v>2393.0</v>
      </c>
      <c r="F22" s="32" t="s">
        <v>35</v>
      </c>
      <c r="G22" s="33">
        <v>650.0</v>
      </c>
      <c r="H22" s="34"/>
      <c r="I22" s="26"/>
      <c r="J22" s="38"/>
      <c r="K22" s="38"/>
      <c r="L22" s="38"/>
      <c r="M22" s="38"/>
      <c r="N22" s="38"/>
      <c r="O22" s="38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6.5" customHeight="1">
      <c r="A23" s="27">
        <v>19.0</v>
      </c>
      <c r="B23" s="28">
        <v>44747.0</v>
      </c>
      <c r="C23" s="35" t="s">
        <v>56</v>
      </c>
      <c r="D23" s="30">
        <v>104.0</v>
      </c>
      <c r="E23" s="37">
        <v>2394.0</v>
      </c>
      <c r="F23" s="32" t="s">
        <v>38</v>
      </c>
      <c r="G23" s="33">
        <v>650.0</v>
      </c>
      <c r="H23" s="34"/>
      <c r="I23" s="26"/>
      <c r="J23" s="38"/>
      <c r="K23" s="38"/>
      <c r="L23" s="38"/>
      <c r="M23" s="38"/>
      <c r="N23" s="38"/>
      <c r="O23" s="38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7.25" customHeight="1">
      <c r="A24" s="27">
        <v>20.0</v>
      </c>
      <c r="B24" s="28">
        <v>44748.0</v>
      </c>
      <c r="C24" s="29" t="s">
        <v>57</v>
      </c>
      <c r="D24" s="30">
        <v>403.0</v>
      </c>
      <c r="E24" s="37">
        <v>2395.0</v>
      </c>
      <c r="F24" s="32" t="s">
        <v>35</v>
      </c>
      <c r="G24" s="33">
        <v>650.0</v>
      </c>
      <c r="H24" s="34"/>
      <c r="I24" s="26"/>
      <c r="J24" s="38"/>
      <c r="K24" s="38"/>
      <c r="L24" s="38"/>
      <c r="M24" s="38"/>
      <c r="N24" s="38"/>
      <c r="O24" s="38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9.5" customHeight="1">
      <c r="A25" s="27">
        <v>21.0</v>
      </c>
      <c r="B25" s="28">
        <v>44749.0</v>
      </c>
      <c r="C25" s="29" t="s">
        <v>58</v>
      </c>
      <c r="D25" s="30">
        <v>203.0</v>
      </c>
      <c r="E25" s="37">
        <v>2396.0</v>
      </c>
      <c r="F25" s="32" t="s">
        <v>38</v>
      </c>
      <c r="G25" s="33">
        <v>650.0</v>
      </c>
      <c r="H25" s="34"/>
      <c r="I25" s="26"/>
      <c r="J25" s="38"/>
      <c r="K25" s="38"/>
      <c r="L25" s="38"/>
      <c r="M25" s="38"/>
      <c r="N25" s="38"/>
      <c r="O25" s="38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9.5" customHeight="1">
      <c r="A26" s="39">
        <v>22.0</v>
      </c>
      <c r="B26" s="28">
        <v>44749.0</v>
      </c>
      <c r="C26" s="35" t="s">
        <v>59</v>
      </c>
      <c r="D26" s="30">
        <v>504.0</v>
      </c>
      <c r="E26" s="37">
        <v>2397.0</v>
      </c>
      <c r="F26" s="32" t="s">
        <v>38</v>
      </c>
      <c r="G26" s="40">
        <v>500.0</v>
      </c>
      <c r="H26" s="41"/>
      <c r="I26" s="26"/>
      <c r="J26" s="38"/>
      <c r="K26" s="38"/>
      <c r="L26" s="38"/>
      <c r="M26" s="38"/>
      <c r="N26" s="38"/>
      <c r="O26" s="38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9.5" customHeight="1">
      <c r="A27" s="39">
        <v>23.0</v>
      </c>
      <c r="B27" s="28">
        <v>44749.0</v>
      </c>
      <c r="C27" s="35" t="s">
        <v>60</v>
      </c>
      <c r="D27" s="30">
        <v>604.0</v>
      </c>
      <c r="E27" s="37">
        <v>2398.0</v>
      </c>
      <c r="F27" s="32" t="s">
        <v>47</v>
      </c>
      <c r="G27" s="33">
        <v>500.0</v>
      </c>
      <c r="H27" s="41"/>
      <c r="I27" s="26"/>
      <c r="J27" s="38"/>
      <c r="K27" s="38"/>
      <c r="L27" s="38"/>
      <c r="M27" s="38"/>
      <c r="N27" s="38"/>
      <c r="O27" s="38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9.5" customHeight="1">
      <c r="A28" s="39">
        <v>24.0</v>
      </c>
      <c r="B28" s="28">
        <v>44749.0</v>
      </c>
      <c r="C28" s="29" t="s">
        <v>61</v>
      </c>
      <c r="D28" s="30">
        <v>102.0</v>
      </c>
      <c r="E28" s="37">
        <v>2399.0</v>
      </c>
      <c r="F28" s="32" t="s">
        <v>47</v>
      </c>
      <c r="G28" s="33">
        <v>700.0</v>
      </c>
      <c r="H28" s="41"/>
      <c r="I28" s="26"/>
      <c r="J28" s="38"/>
      <c r="K28" s="38"/>
      <c r="L28" s="38"/>
      <c r="M28" s="38"/>
      <c r="N28" s="38"/>
      <c r="O28" s="38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9.5" customHeight="1">
      <c r="A29" s="39">
        <v>25.0</v>
      </c>
      <c r="B29" s="28">
        <v>44749.0</v>
      </c>
      <c r="C29" s="29" t="s">
        <v>61</v>
      </c>
      <c r="D29" s="30">
        <v>102.0</v>
      </c>
      <c r="E29" s="37">
        <v>2400.0</v>
      </c>
      <c r="F29" s="32" t="s">
        <v>35</v>
      </c>
      <c r="G29" s="40">
        <v>700.0</v>
      </c>
      <c r="H29" s="41"/>
      <c r="I29" s="26"/>
      <c r="J29" s="38"/>
      <c r="K29" s="38"/>
      <c r="L29" s="38"/>
      <c r="M29" s="38"/>
      <c r="N29" s="38"/>
      <c r="O29" s="38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9.5" customHeight="1">
      <c r="A30" s="39">
        <v>26.0</v>
      </c>
      <c r="B30" s="28">
        <v>44749.0</v>
      </c>
      <c r="C30" s="29" t="s">
        <v>62</v>
      </c>
      <c r="D30" s="30">
        <v>101.0</v>
      </c>
      <c r="E30" s="37">
        <v>2401.0</v>
      </c>
      <c r="F30" s="32" t="s">
        <v>63</v>
      </c>
      <c r="G30" s="33">
        <v>700.0</v>
      </c>
      <c r="H30" s="41"/>
      <c r="I30" s="26"/>
      <c r="J30" s="38"/>
      <c r="K30" s="38"/>
      <c r="L30" s="38"/>
      <c r="M30" s="38"/>
      <c r="N30" s="38"/>
      <c r="O30" s="38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9.5" customHeight="1">
      <c r="A31" s="39">
        <v>27.0</v>
      </c>
      <c r="B31" s="28">
        <v>44753.0</v>
      </c>
      <c r="C31" s="35" t="s">
        <v>64</v>
      </c>
      <c r="D31" s="30">
        <v>502.0</v>
      </c>
      <c r="E31" s="37">
        <v>2402.0</v>
      </c>
      <c r="F31" s="32" t="s">
        <v>35</v>
      </c>
      <c r="G31" s="33">
        <v>650.0</v>
      </c>
      <c r="H31" s="41"/>
      <c r="I31" s="26"/>
      <c r="J31" s="38"/>
      <c r="K31" s="38"/>
      <c r="L31" s="38"/>
      <c r="M31" s="38"/>
      <c r="N31" s="38"/>
      <c r="O31" s="38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9.5" customHeight="1">
      <c r="A32" s="39">
        <v>28.0</v>
      </c>
      <c r="B32" s="28">
        <v>44756.0</v>
      </c>
      <c r="C32" s="29" t="s">
        <v>65</v>
      </c>
      <c r="D32" s="30">
        <v>802.0</v>
      </c>
      <c r="E32" s="31">
        <v>2403.0</v>
      </c>
      <c r="F32" s="32" t="s">
        <v>38</v>
      </c>
      <c r="G32" s="40">
        <v>500.0</v>
      </c>
      <c r="H32" s="41"/>
      <c r="I32" s="26"/>
      <c r="J32" s="38"/>
      <c r="K32" s="38"/>
      <c r="L32" s="38"/>
      <c r="M32" s="38"/>
      <c r="N32" s="38"/>
      <c r="O32" s="38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39.0" customHeight="1">
      <c r="A33" s="39">
        <v>29.0</v>
      </c>
      <c r="B33" s="28">
        <v>44761.0</v>
      </c>
      <c r="C33" s="29" t="s">
        <v>66</v>
      </c>
      <c r="D33" s="30">
        <v>404.0</v>
      </c>
      <c r="E33" s="31">
        <v>2404.0</v>
      </c>
      <c r="F33" s="32" t="s">
        <v>67</v>
      </c>
      <c r="G33" s="33">
        <v>6000.0</v>
      </c>
      <c r="H33" s="41"/>
      <c r="I33" s="26"/>
      <c r="J33" s="38"/>
      <c r="K33" s="38"/>
      <c r="L33" s="38"/>
      <c r="M33" s="38"/>
      <c r="N33" s="38"/>
      <c r="O33" s="38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5.5" customHeight="1">
      <c r="A34" s="39">
        <v>30.0</v>
      </c>
      <c r="B34" s="42">
        <v>44761.0</v>
      </c>
      <c r="C34" s="43" t="s">
        <v>68</v>
      </c>
      <c r="D34" s="44">
        <v>302.0</v>
      </c>
      <c r="E34" s="45">
        <v>2405.0</v>
      </c>
      <c r="F34" s="43" t="s">
        <v>69</v>
      </c>
      <c r="G34" s="46">
        <v>700.0</v>
      </c>
      <c r="H34" s="41"/>
      <c r="I34" s="26"/>
      <c r="J34" s="38"/>
      <c r="K34" s="38"/>
      <c r="L34" s="38"/>
      <c r="M34" s="38"/>
      <c r="N34" s="38"/>
      <c r="O34" s="38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9.5" customHeight="1">
      <c r="A35" s="39">
        <v>31.0</v>
      </c>
      <c r="B35" s="42">
        <v>44761.0</v>
      </c>
      <c r="C35" s="43" t="s">
        <v>70</v>
      </c>
      <c r="D35" s="44">
        <v>202.0</v>
      </c>
      <c r="E35" s="45">
        <v>2406.0</v>
      </c>
      <c r="F35" s="32" t="s">
        <v>38</v>
      </c>
      <c r="G35" s="40">
        <v>500.0</v>
      </c>
      <c r="H35" s="41"/>
      <c r="I35" s="26"/>
      <c r="J35" s="38"/>
      <c r="K35" s="38"/>
      <c r="L35" s="38"/>
      <c r="M35" s="38"/>
      <c r="N35" s="38"/>
      <c r="O35" s="38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9.5" customHeight="1">
      <c r="A36" s="39">
        <v>32.0</v>
      </c>
      <c r="B36" s="42">
        <v>44761.0</v>
      </c>
      <c r="C36" s="43" t="s">
        <v>71</v>
      </c>
      <c r="D36" s="44">
        <v>904.0</v>
      </c>
      <c r="E36" s="45">
        <v>2407.0</v>
      </c>
      <c r="F36" s="32" t="s">
        <v>38</v>
      </c>
      <c r="G36" s="46">
        <v>650.0</v>
      </c>
      <c r="H36" s="41"/>
      <c r="I36" s="26"/>
      <c r="J36" s="38"/>
      <c r="K36" s="38"/>
      <c r="L36" s="38"/>
      <c r="M36" s="38"/>
      <c r="N36" s="38"/>
      <c r="O36" s="38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9.5" customHeight="1">
      <c r="A37" s="39">
        <v>33.0</v>
      </c>
      <c r="B37" s="42"/>
      <c r="C37" s="43" t="s">
        <v>72</v>
      </c>
      <c r="D37" s="44"/>
      <c r="E37" s="45">
        <v>2408.0</v>
      </c>
      <c r="F37" s="43"/>
      <c r="G37" s="46"/>
      <c r="H37" s="41"/>
      <c r="I37" s="26"/>
      <c r="J37" s="38"/>
      <c r="K37" s="38"/>
      <c r="L37" s="38"/>
      <c r="M37" s="38"/>
      <c r="N37" s="38"/>
      <c r="O37" s="38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9.5" customHeight="1">
      <c r="A38" s="39">
        <v>34.0</v>
      </c>
      <c r="B38" s="42">
        <v>44761.0</v>
      </c>
      <c r="C38" s="43" t="s">
        <v>73</v>
      </c>
      <c r="D38" s="44">
        <v>701.0</v>
      </c>
      <c r="E38" s="45">
        <v>2409.0</v>
      </c>
      <c r="F38" s="43" t="s">
        <v>74</v>
      </c>
      <c r="G38" s="46">
        <v>2100.0</v>
      </c>
      <c r="H38" s="41"/>
      <c r="I38" s="26"/>
      <c r="J38" s="38"/>
      <c r="K38" s="38"/>
      <c r="L38" s="38"/>
      <c r="M38" s="38"/>
      <c r="N38" s="38"/>
      <c r="O38" s="38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9.5" customHeight="1">
      <c r="A39" s="39">
        <v>35.0</v>
      </c>
      <c r="B39" s="42">
        <v>44765.0</v>
      </c>
      <c r="C39" s="43" t="s">
        <v>66</v>
      </c>
      <c r="D39" s="44">
        <v>404.0</v>
      </c>
      <c r="E39" s="45">
        <v>2410.0</v>
      </c>
      <c r="F39" s="43" t="s">
        <v>75</v>
      </c>
      <c r="G39" s="46"/>
      <c r="H39" s="41">
        <v>100.0</v>
      </c>
      <c r="I39" s="26"/>
      <c r="J39" s="38"/>
      <c r="K39" s="38"/>
      <c r="L39" s="38"/>
      <c r="M39" s="38"/>
      <c r="N39" s="38"/>
      <c r="O39" s="38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9.5" customHeight="1">
      <c r="A40" s="39">
        <v>36.0</v>
      </c>
      <c r="B40" s="42">
        <v>44771.0</v>
      </c>
      <c r="C40" s="43" t="s">
        <v>76</v>
      </c>
      <c r="D40" s="44">
        <v>704.0</v>
      </c>
      <c r="E40" s="45">
        <v>2411.0</v>
      </c>
      <c r="F40" s="43" t="s">
        <v>77</v>
      </c>
      <c r="G40" s="46">
        <v>650.0</v>
      </c>
      <c r="H40" s="41"/>
      <c r="I40" s="26"/>
      <c r="J40" s="38"/>
      <c r="K40" s="38"/>
      <c r="L40" s="38"/>
      <c r="M40" s="38"/>
      <c r="N40" s="38"/>
      <c r="O40" s="38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9.5" customHeight="1">
      <c r="A41" s="39">
        <v>37.0</v>
      </c>
      <c r="B41" s="42">
        <v>44771.0</v>
      </c>
      <c r="C41" s="43" t="s">
        <v>76</v>
      </c>
      <c r="D41" s="44">
        <v>704.0</v>
      </c>
      <c r="E41" s="45">
        <v>2412.0</v>
      </c>
      <c r="F41" s="43" t="s">
        <v>78</v>
      </c>
      <c r="G41" s="46">
        <v>700.0</v>
      </c>
      <c r="H41" s="41"/>
      <c r="I41" s="26"/>
      <c r="J41" s="38"/>
      <c r="K41" s="38"/>
      <c r="L41" s="38"/>
      <c r="M41" s="38"/>
      <c r="N41" s="38"/>
      <c r="O41" s="38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9.5" customHeight="1">
      <c r="A42" s="39">
        <v>38.0</v>
      </c>
      <c r="B42" s="42">
        <v>44773.0</v>
      </c>
      <c r="C42" s="43" t="s">
        <v>39</v>
      </c>
      <c r="D42" s="44">
        <v>402.0</v>
      </c>
      <c r="E42" s="45">
        <v>2413.0</v>
      </c>
      <c r="F42" s="43" t="s">
        <v>38</v>
      </c>
      <c r="G42" s="46">
        <v>650.0</v>
      </c>
      <c r="H42" s="41"/>
      <c r="I42" s="26"/>
      <c r="J42" s="38"/>
      <c r="K42" s="38"/>
      <c r="L42" s="38"/>
      <c r="M42" s="38"/>
      <c r="N42" s="38"/>
      <c r="O42" s="38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23.25" customHeight="1">
      <c r="A43" s="47">
        <v>39.0</v>
      </c>
      <c r="B43" s="48">
        <v>44773.0</v>
      </c>
      <c r="C43" s="49" t="s">
        <v>49</v>
      </c>
      <c r="D43" s="50">
        <v>901.0</v>
      </c>
      <c r="E43" s="51">
        <v>2414.0</v>
      </c>
      <c r="F43" s="52" t="s">
        <v>79</v>
      </c>
      <c r="G43" s="53">
        <v>650.0</v>
      </c>
      <c r="H43" s="54"/>
      <c r="I43" s="26"/>
      <c r="J43" s="38"/>
      <c r="K43" s="38"/>
      <c r="L43" s="38"/>
      <c r="M43" s="38"/>
      <c r="N43" s="38"/>
      <c r="O43" s="38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6.5" customHeight="1">
      <c r="A44" s="55"/>
      <c r="B44" s="55"/>
      <c r="C44" s="56"/>
      <c r="D44" s="56"/>
      <c r="E44" s="55"/>
      <c r="F44" s="57" t="s">
        <v>80</v>
      </c>
      <c r="G44" s="58">
        <f t="shared" ref="G44:H44" si="1">SUM(G5:G43)</f>
        <v>31450</v>
      </c>
      <c r="H44" s="58">
        <f t="shared" si="1"/>
        <v>100</v>
      </c>
      <c r="I44" s="26"/>
      <c r="J44" s="38"/>
      <c r="K44" s="38"/>
      <c r="L44" s="38"/>
      <c r="M44" s="38"/>
      <c r="N44" s="38"/>
      <c r="O44" s="38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6.5" customHeight="1">
      <c r="A45" s="55"/>
      <c r="B45" s="55"/>
      <c r="C45" s="56"/>
      <c r="D45" s="38"/>
      <c r="E45" s="55"/>
      <c r="F45" s="59"/>
      <c r="G45" s="60">
        <f>SUM(G44:H44)</f>
        <v>31550</v>
      </c>
      <c r="H45" s="61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62"/>
      <c r="B46" s="62"/>
      <c r="C46" s="63"/>
      <c r="D46" s="38"/>
      <c r="E46" s="62"/>
      <c r="F46" s="63"/>
      <c r="G46" s="63"/>
      <c r="H46" s="6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62"/>
      <c r="B47" s="62"/>
      <c r="C47" s="63"/>
      <c r="D47" s="38"/>
      <c r="E47" s="62"/>
      <c r="F47" s="63"/>
      <c r="G47" s="63"/>
      <c r="H47" s="6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64"/>
      <c r="B48" s="64"/>
      <c r="C48" s="65"/>
      <c r="D48" s="38"/>
      <c r="E48" s="64"/>
      <c r="F48" s="65"/>
      <c r="G48" s="65"/>
      <c r="H48" s="65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64"/>
      <c r="B49" s="64"/>
      <c r="C49" s="65"/>
      <c r="D49" s="38"/>
      <c r="E49" s="64"/>
      <c r="F49" s="65"/>
      <c r="G49" s="65"/>
      <c r="H49" s="65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64"/>
      <c r="B50" s="64"/>
      <c r="C50" s="65"/>
      <c r="D50" s="38"/>
      <c r="E50" s="64"/>
      <c r="F50" s="65"/>
      <c r="G50" s="65"/>
      <c r="H50" s="65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64"/>
      <c r="B51" s="64"/>
      <c r="C51" s="65"/>
      <c r="D51" s="64"/>
      <c r="E51" s="64"/>
      <c r="F51" s="65"/>
      <c r="G51" s="65"/>
      <c r="H51" s="65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64"/>
      <c r="B52" s="64"/>
      <c r="C52" s="65"/>
      <c r="D52" s="64"/>
      <c r="E52" s="64"/>
      <c r="F52" s="65"/>
      <c r="G52" s="65"/>
      <c r="H52" s="65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64"/>
      <c r="B53" s="64"/>
      <c r="C53" s="65"/>
      <c r="D53" s="64"/>
      <c r="E53" s="64"/>
      <c r="F53" s="65"/>
      <c r="G53" s="65"/>
      <c r="H53" s="65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64"/>
      <c r="B54" s="64"/>
      <c r="C54" s="65"/>
      <c r="D54" s="64"/>
      <c r="E54" s="64"/>
      <c r="F54" s="65"/>
      <c r="G54" s="65"/>
      <c r="H54" s="65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64"/>
      <c r="B55" s="64"/>
      <c r="C55" s="65"/>
      <c r="D55" s="64"/>
      <c r="E55" s="64"/>
      <c r="F55" s="65"/>
      <c r="G55" s="65"/>
      <c r="H55" s="65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64"/>
      <c r="B56" s="64"/>
      <c r="C56" s="65"/>
      <c r="D56" s="64"/>
      <c r="E56" s="64"/>
      <c r="F56" s="65"/>
      <c r="G56" s="65"/>
      <c r="H56" s="65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64"/>
      <c r="B57" s="64"/>
      <c r="C57" s="65"/>
      <c r="D57" s="64"/>
      <c r="E57" s="64"/>
      <c r="F57" s="65"/>
      <c r="G57" s="65"/>
      <c r="H57" s="65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64"/>
      <c r="B58" s="64"/>
      <c r="C58" s="65"/>
      <c r="D58" s="64"/>
      <c r="E58" s="64"/>
      <c r="F58" s="65"/>
      <c r="G58" s="65"/>
      <c r="H58" s="65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64"/>
      <c r="B59" s="64"/>
      <c r="C59" s="65"/>
      <c r="D59" s="64"/>
      <c r="E59" s="64"/>
      <c r="F59" s="65"/>
      <c r="G59" s="65"/>
      <c r="H59" s="65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64"/>
      <c r="B60" s="64"/>
      <c r="C60" s="65"/>
      <c r="D60" s="64"/>
      <c r="E60" s="64"/>
      <c r="F60" s="65"/>
      <c r="G60" s="65"/>
      <c r="H60" s="65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64"/>
      <c r="B61" s="64"/>
      <c r="C61" s="65"/>
      <c r="D61" s="64"/>
      <c r="E61" s="64"/>
      <c r="F61" s="65"/>
      <c r="G61" s="65"/>
      <c r="H61" s="65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64"/>
      <c r="B62" s="64"/>
      <c r="C62" s="65"/>
      <c r="D62" s="64"/>
      <c r="E62" s="64"/>
      <c r="F62" s="65"/>
      <c r="G62" s="65"/>
      <c r="H62" s="65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64"/>
      <c r="B63" s="64"/>
      <c r="C63" s="65"/>
      <c r="D63" s="64"/>
      <c r="E63" s="64"/>
      <c r="F63" s="65"/>
      <c r="G63" s="65"/>
      <c r="H63" s="6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64"/>
      <c r="B64" s="64"/>
      <c r="C64" s="65"/>
      <c r="D64" s="64"/>
      <c r="E64" s="64"/>
      <c r="F64" s="65"/>
      <c r="G64" s="65"/>
      <c r="H64" s="65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64"/>
      <c r="B65" s="64"/>
      <c r="C65" s="65"/>
      <c r="D65" s="64"/>
      <c r="E65" s="64"/>
      <c r="F65" s="65"/>
      <c r="G65" s="65"/>
      <c r="H65" s="65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64"/>
      <c r="B66" s="64"/>
      <c r="C66" s="65"/>
      <c r="D66" s="64"/>
      <c r="E66" s="64"/>
      <c r="F66" s="65"/>
      <c r="G66" s="65"/>
      <c r="H66" s="65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64"/>
      <c r="B67" s="64"/>
      <c r="C67" s="65"/>
      <c r="D67" s="64"/>
      <c r="E67" s="64"/>
      <c r="F67" s="65"/>
      <c r="G67" s="65"/>
      <c r="H67" s="65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64"/>
      <c r="B68" s="64"/>
      <c r="C68" s="65"/>
      <c r="D68" s="64"/>
      <c r="E68" s="64"/>
      <c r="F68" s="65"/>
      <c r="G68" s="65"/>
      <c r="H68" s="65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64"/>
      <c r="B69" s="64"/>
      <c r="C69" s="65"/>
      <c r="D69" s="64"/>
      <c r="E69" s="64"/>
      <c r="F69" s="65"/>
      <c r="G69" s="65"/>
      <c r="H69" s="65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64"/>
      <c r="B70" s="64"/>
      <c r="C70" s="65"/>
      <c r="D70" s="64"/>
      <c r="E70" s="64"/>
      <c r="F70" s="65"/>
      <c r="G70" s="65"/>
      <c r="H70" s="65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64"/>
      <c r="B71" s="64"/>
      <c r="C71" s="65"/>
      <c r="D71" s="64"/>
      <c r="E71" s="64"/>
      <c r="F71" s="65"/>
      <c r="G71" s="65"/>
      <c r="H71" s="65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64"/>
      <c r="B72" s="64"/>
      <c r="C72" s="65"/>
      <c r="D72" s="64"/>
      <c r="E72" s="64"/>
      <c r="F72" s="65"/>
      <c r="G72" s="65"/>
      <c r="H72" s="65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64"/>
      <c r="B73" s="64"/>
      <c r="C73" s="65"/>
      <c r="D73" s="64"/>
      <c r="E73" s="64"/>
      <c r="F73" s="65"/>
      <c r="G73" s="65"/>
      <c r="H73" s="65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64"/>
      <c r="B74" s="64"/>
      <c r="C74" s="65"/>
      <c r="D74" s="64"/>
      <c r="E74" s="64"/>
      <c r="F74" s="65"/>
      <c r="G74" s="65"/>
      <c r="H74" s="65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64"/>
      <c r="B75" s="64"/>
      <c r="C75" s="65"/>
      <c r="D75" s="64"/>
      <c r="E75" s="64"/>
      <c r="F75" s="65"/>
      <c r="G75" s="65"/>
      <c r="H75" s="65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64"/>
      <c r="B76" s="64"/>
      <c r="C76" s="65"/>
      <c r="D76" s="64"/>
      <c r="E76" s="64"/>
      <c r="F76" s="65"/>
      <c r="G76" s="65"/>
      <c r="H76" s="65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64"/>
      <c r="B77" s="64"/>
      <c r="C77" s="65"/>
      <c r="D77" s="64"/>
      <c r="E77" s="64"/>
      <c r="F77" s="65"/>
      <c r="G77" s="65"/>
      <c r="H77" s="65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64"/>
      <c r="B78" s="64"/>
      <c r="C78" s="65"/>
      <c r="D78" s="64"/>
      <c r="E78" s="64"/>
      <c r="F78" s="65"/>
      <c r="G78" s="65"/>
      <c r="H78" s="65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64"/>
      <c r="B79" s="64"/>
      <c r="C79" s="65"/>
      <c r="D79" s="64"/>
      <c r="E79" s="64"/>
      <c r="F79" s="65"/>
      <c r="G79" s="65"/>
      <c r="H79" s="65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64"/>
      <c r="B80" s="64"/>
      <c r="C80" s="65"/>
      <c r="D80" s="64"/>
      <c r="E80" s="64"/>
      <c r="F80" s="65"/>
      <c r="G80" s="65"/>
      <c r="H80" s="65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64"/>
      <c r="B81" s="64"/>
      <c r="C81" s="65"/>
      <c r="D81" s="64"/>
      <c r="E81" s="64"/>
      <c r="F81" s="65"/>
      <c r="G81" s="65"/>
      <c r="H81" s="65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64"/>
      <c r="B82" s="64"/>
      <c r="C82" s="65"/>
      <c r="D82" s="64"/>
      <c r="E82" s="64"/>
      <c r="F82" s="65"/>
      <c r="G82" s="65"/>
      <c r="H82" s="65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64"/>
      <c r="B83" s="64"/>
      <c r="C83" s="65"/>
      <c r="D83" s="64"/>
      <c r="E83" s="64"/>
      <c r="F83" s="65"/>
      <c r="G83" s="65"/>
      <c r="H83" s="65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64"/>
      <c r="B84" s="64"/>
      <c r="C84" s="65"/>
      <c r="D84" s="64"/>
      <c r="E84" s="64"/>
      <c r="F84" s="65"/>
      <c r="G84" s="65"/>
      <c r="H84" s="65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64"/>
      <c r="B85" s="64"/>
      <c r="C85" s="65"/>
      <c r="D85" s="64"/>
      <c r="E85" s="64"/>
      <c r="F85" s="65"/>
      <c r="G85" s="65"/>
      <c r="H85" s="65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64"/>
      <c r="B86" s="64"/>
      <c r="C86" s="65"/>
      <c r="D86" s="64"/>
      <c r="E86" s="64"/>
      <c r="F86" s="65"/>
      <c r="G86" s="65"/>
      <c r="H86" s="65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64"/>
      <c r="B87" s="64"/>
      <c r="C87" s="65"/>
      <c r="D87" s="64"/>
      <c r="E87" s="64"/>
      <c r="F87" s="65"/>
      <c r="G87" s="65"/>
      <c r="H87" s="65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64"/>
      <c r="B88" s="64"/>
      <c r="C88" s="65"/>
      <c r="D88" s="64"/>
      <c r="E88" s="64"/>
      <c r="F88" s="65"/>
      <c r="G88" s="65"/>
      <c r="H88" s="65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64"/>
      <c r="B89" s="64"/>
      <c r="C89" s="65"/>
      <c r="D89" s="64"/>
      <c r="E89" s="64"/>
      <c r="F89" s="65"/>
      <c r="G89" s="65"/>
      <c r="H89" s="65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64"/>
      <c r="B90" s="64"/>
      <c r="C90" s="65"/>
      <c r="D90" s="64"/>
      <c r="E90" s="64"/>
      <c r="F90" s="65"/>
      <c r="G90" s="65"/>
      <c r="H90" s="65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64"/>
      <c r="B91" s="64"/>
      <c r="C91" s="65"/>
      <c r="D91" s="64"/>
      <c r="E91" s="64"/>
      <c r="F91" s="65"/>
      <c r="G91" s="65"/>
      <c r="H91" s="65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64"/>
      <c r="B92" s="64"/>
      <c r="C92" s="65"/>
      <c r="D92" s="64"/>
      <c r="E92" s="64"/>
      <c r="F92" s="65"/>
      <c r="G92" s="65"/>
      <c r="H92" s="65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64"/>
      <c r="B93" s="64"/>
      <c r="C93" s="65"/>
      <c r="D93" s="64"/>
      <c r="E93" s="64"/>
      <c r="F93" s="65"/>
      <c r="G93" s="65"/>
      <c r="H93" s="65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64"/>
      <c r="B94" s="64"/>
      <c r="C94" s="65"/>
      <c r="D94" s="64"/>
      <c r="E94" s="64"/>
      <c r="F94" s="65"/>
      <c r="G94" s="65"/>
      <c r="H94" s="65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64"/>
      <c r="B95" s="64"/>
      <c r="C95" s="65"/>
      <c r="D95" s="64"/>
      <c r="E95" s="64"/>
      <c r="F95" s="65"/>
      <c r="G95" s="65"/>
      <c r="H95" s="65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64"/>
      <c r="B96" s="64"/>
      <c r="C96" s="65"/>
      <c r="D96" s="64"/>
      <c r="E96" s="64"/>
      <c r="F96" s="65"/>
      <c r="G96" s="65"/>
      <c r="H96" s="65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64"/>
      <c r="B97" s="64"/>
      <c r="C97" s="65"/>
      <c r="D97" s="64"/>
      <c r="E97" s="64"/>
      <c r="F97" s="65"/>
      <c r="G97" s="65"/>
      <c r="H97" s="65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64"/>
      <c r="B98" s="64"/>
      <c r="C98" s="65"/>
      <c r="D98" s="64"/>
      <c r="E98" s="64"/>
      <c r="F98" s="65"/>
      <c r="G98" s="65"/>
      <c r="H98" s="65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64"/>
      <c r="B99" s="64"/>
      <c r="C99" s="65"/>
      <c r="D99" s="64"/>
      <c r="E99" s="64"/>
      <c r="F99" s="65"/>
      <c r="G99" s="65"/>
      <c r="H99" s="65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64"/>
      <c r="B100" s="64"/>
      <c r="C100" s="65"/>
      <c r="D100" s="64"/>
      <c r="E100" s="64"/>
      <c r="F100" s="65"/>
      <c r="G100" s="65"/>
      <c r="H100" s="65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64"/>
      <c r="B101" s="64"/>
      <c r="C101" s="65"/>
      <c r="D101" s="64"/>
      <c r="E101" s="64"/>
      <c r="F101" s="65"/>
      <c r="G101" s="65"/>
      <c r="H101" s="65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64"/>
      <c r="B102" s="64"/>
      <c r="C102" s="65"/>
      <c r="D102" s="64"/>
      <c r="E102" s="64"/>
      <c r="F102" s="65"/>
      <c r="G102" s="65"/>
      <c r="H102" s="65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64"/>
      <c r="B103" s="64"/>
      <c r="C103" s="65"/>
      <c r="D103" s="64"/>
      <c r="E103" s="64"/>
      <c r="F103" s="65"/>
      <c r="G103" s="65"/>
      <c r="H103" s="65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64"/>
      <c r="B104" s="64"/>
      <c r="C104" s="65"/>
      <c r="D104" s="64"/>
      <c r="E104" s="64"/>
      <c r="F104" s="65"/>
      <c r="G104" s="65"/>
      <c r="H104" s="65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64"/>
      <c r="B105" s="64"/>
      <c r="C105" s="65"/>
      <c r="D105" s="64"/>
      <c r="E105" s="64"/>
      <c r="F105" s="65"/>
      <c r="G105" s="65"/>
      <c r="H105" s="65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64"/>
      <c r="B106" s="64"/>
      <c r="C106" s="65"/>
      <c r="D106" s="64"/>
      <c r="E106" s="64"/>
      <c r="F106" s="65"/>
      <c r="G106" s="65"/>
      <c r="H106" s="65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64"/>
      <c r="B107" s="64"/>
      <c r="C107" s="65"/>
      <c r="D107" s="64"/>
      <c r="E107" s="64"/>
      <c r="F107" s="65"/>
      <c r="G107" s="65"/>
      <c r="H107" s="65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64"/>
      <c r="B108" s="64"/>
      <c r="C108" s="65"/>
      <c r="D108" s="64"/>
      <c r="E108" s="64"/>
      <c r="F108" s="65"/>
      <c r="G108" s="65"/>
      <c r="H108" s="65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64"/>
      <c r="B109" s="64"/>
      <c r="C109" s="65"/>
      <c r="D109" s="64"/>
      <c r="E109" s="64"/>
      <c r="F109" s="65"/>
      <c r="G109" s="65"/>
      <c r="H109" s="65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64"/>
      <c r="B110" s="64"/>
      <c r="C110" s="65"/>
      <c r="D110" s="64"/>
      <c r="E110" s="64"/>
      <c r="F110" s="65"/>
      <c r="G110" s="65"/>
      <c r="H110" s="65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64"/>
      <c r="B111" s="64"/>
      <c r="C111" s="65"/>
      <c r="D111" s="64"/>
      <c r="E111" s="64"/>
      <c r="F111" s="65"/>
      <c r="G111" s="65"/>
      <c r="H111" s="65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64"/>
      <c r="B112" s="64"/>
      <c r="C112" s="65"/>
      <c r="D112" s="64"/>
      <c r="E112" s="64"/>
      <c r="F112" s="65"/>
      <c r="G112" s="65"/>
      <c r="H112" s="65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64"/>
      <c r="B113" s="64"/>
      <c r="C113" s="65"/>
      <c r="D113" s="64"/>
      <c r="E113" s="64"/>
      <c r="F113" s="65"/>
      <c r="G113" s="65"/>
      <c r="H113" s="65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64"/>
      <c r="B114" s="64"/>
      <c r="C114" s="65"/>
      <c r="D114" s="64"/>
      <c r="E114" s="64"/>
      <c r="F114" s="65"/>
      <c r="G114" s="65"/>
      <c r="H114" s="65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64"/>
      <c r="B115" s="64"/>
      <c r="C115" s="65"/>
      <c r="D115" s="64"/>
      <c r="E115" s="64"/>
      <c r="F115" s="65"/>
      <c r="G115" s="65"/>
      <c r="H115" s="65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64"/>
      <c r="B116" s="64"/>
      <c r="C116" s="65"/>
      <c r="D116" s="64"/>
      <c r="E116" s="64"/>
      <c r="F116" s="65"/>
      <c r="G116" s="65"/>
      <c r="H116" s="65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64"/>
      <c r="B117" s="64"/>
      <c r="C117" s="65"/>
      <c r="D117" s="64"/>
      <c r="E117" s="64"/>
      <c r="F117" s="65"/>
      <c r="G117" s="65"/>
      <c r="H117" s="65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64"/>
      <c r="B118" s="64"/>
      <c r="C118" s="65"/>
      <c r="D118" s="64"/>
      <c r="E118" s="64"/>
      <c r="F118" s="65"/>
      <c r="G118" s="65"/>
      <c r="H118" s="65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64"/>
      <c r="B119" s="64"/>
      <c r="C119" s="65"/>
      <c r="D119" s="64"/>
      <c r="E119" s="64"/>
      <c r="F119" s="65"/>
      <c r="G119" s="65"/>
      <c r="H119" s="65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64"/>
      <c r="B120" s="64"/>
      <c r="C120" s="65"/>
      <c r="D120" s="64"/>
      <c r="E120" s="64"/>
      <c r="F120" s="65"/>
      <c r="G120" s="65"/>
      <c r="H120" s="65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64"/>
      <c r="B121" s="64"/>
      <c r="C121" s="65"/>
      <c r="D121" s="64"/>
      <c r="E121" s="64"/>
      <c r="F121" s="65"/>
      <c r="G121" s="65"/>
      <c r="H121" s="65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64"/>
      <c r="B122" s="64"/>
      <c r="C122" s="65"/>
      <c r="D122" s="64"/>
      <c r="E122" s="64"/>
      <c r="F122" s="65"/>
      <c r="G122" s="65"/>
      <c r="H122" s="65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64"/>
      <c r="B123" s="64"/>
      <c r="C123" s="65"/>
      <c r="D123" s="64"/>
      <c r="E123" s="64"/>
      <c r="F123" s="65"/>
      <c r="G123" s="65"/>
      <c r="H123" s="65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64"/>
      <c r="B124" s="64"/>
      <c r="C124" s="65"/>
      <c r="D124" s="64"/>
      <c r="E124" s="64"/>
      <c r="F124" s="65"/>
      <c r="G124" s="65"/>
      <c r="H124" s="65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64"/>
      <c r="B125" s="64"/>
      <c r="C125" s="65"/>
      <c r="D125" s="64"/>
      <c r="E125" s="64"/>
      <c r="F125" s="65"/>
      <c r="G125" s="65"/>
      <c r="H125" s="65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64"/>
      <c r="B126" s="64"/>
      <c r="C126" s="65"/>
      <c r="D126" s="64"/>
      <c r="E126" s="64"/>
      <c r="F126" s="65"/>
      <c r="G126" s="65"/>
      <c r="H126" s="65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64"/>
      <c r="B127" s="64"/>
      <c r="C127" s="65"/>
      <c r="D127" s="64"/>
      <c r="E127" s="64"/>
      <c r="F127" s="65"/>
      <c r="G127" s="65"/>
      <c r="H127" s="65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64"/>
      <c r="B128" s="64"/>
      <c r="C128" s="65"/>
      <c r="D128" s="64"/>
      <c r="E128" s="64"/>
      <c r="F128" s="65"/>
      <c r="G128" s="65"/>
      <c r="H128" s="65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64"/>
      <c r="B129" s="64"/>
      <c r="C129" s="65"/>
      <c r="D129" s="64"/>
      <c r="E129" s="64"/>
      <c r="F129" s="65"/>
      <c r="G129" s="65"/>
      <c r="H129" s="65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64"/>
      <c r="B130" s="64"/>
      <c r="C130" s="65"/>
      <c r="D130" s="64"/>
      <c r="E130" s="64"/>
      <c r="F130" s="65"/>
      <c r="G130" s="65"/>
      <c r="H130" s="65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64"/>
      <c r="B131" s="64"/>
      <c r="C131" s="65"/>
      <c r="D131" s="64"/>
      <c r="E131" s="64"/>
      <c r="F131" s="65"/>
      <c r="G131" s="65"/>
      <c r="H131" s="65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64"/>
      <c r="B132" s="64"/>
      <c r="C132" s="65"/>
      <c r="D132" s="64"/>
      <c r="E132" s="64"/>
      <c r="F132" s="65"/>
      <c r="G132" s="65"/>
      <c r="H132" s="65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64"/>
      <c r="B133" s="64"/>
      <c r="C133" s="65"/>
      <c r="D133" s="64"/>
      <c r="E133" s="64"/>
      <c r="F133" s="65"/>
      <c r="G133" s="65"/>
      <c r="H133" s="65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64"/>
      <c r="B134" s="64"/>
      <c r="C134" s="65"/>
      <c r="D134" s="64"/>
      <c r="E134" s="64"/>
      <c r="F134" s="65"/>
      <c r="G134" s="65"/>
      <c r="H134" s="65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64"/>
      <c r="B135" s="64"/>
      <c r="C135" s="65"/>
      <c r="D135" s="64"/>
      <c r="E135" s="64"/>
      <c r="F135" s="65"/>
      <c r="G135" s="65"/>
      <c r="H135" s="65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64"/>
      <c r="B136" s="64"/>
      <c r="C136" s="65"/>
      <c r="D136" s="64"/>
      <c r="E136" s="64"/>
      <c r="F136" s="65"/>
      <c r="G136" s="65"/>
      <c r="H136" s="65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64"/>
      <c r="B137" s="64"/>
      <c r="C137" s="65"/>
      <c r="D137" s="64"/>
      <c r="E137" s="64"/>
      <c r="F137" s="65"/>
      <c r="G137" s="65"/>
      <c r="H137" s="65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64"/>
      <c r="B138" s="64"/>
      <c r="C138" s="65"/>
      <c r="D138" s="64"/>
      <c r="E138" s="64"/>
      <c r="F138" s="65"/>
      <c r="G138" s="65"/>
      <c r="H138" s="65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64"/>
      <c r="B139" s="64"/>
      <c r="C139" s="65"/>
      <c r="D139" s="64"/>
      <c r="E139" s="64"/>
      <c r="F139" s="65"/>
      <c r="G139" s="65"/>
      <c r="H139" s="65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64"/>
      <c r="B140" s="64"/>
      <c r="C140" s="65"/>
      <c r="D140" s="64"/>
      <c r="E140" s="64"/>
      <c r="F140" s="65"/>
      <c r="G140" s="65"/>
      <c r="H140" s="65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64"/>
      <c r="B141" s="64"/>
      <c r="C141" s="65"/>
      <c r="D141" s="64"/>
      <c r="E141" s="64"/>
      <c r="F141" s="65"/>
      <c r="G141" s="65"/>
      <c r="H141" s="65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64"/>
      <c r="B142" s="64"/>
      <c r="C142" s="65"/>
      <c r="D142" s="64"/>
      <c r="E142" s="64"/>
      <c r="F142" s="65"/>
      <c r="G142" s="65"/>
      <c r="H142" s="65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64"/>
      <c r="B143" s="64"/>
      <c r="C143" s="65"/>
      <c r="D143" s="64"/>
      <c r="E143" s="64"/>
      <c r="F143" s="65"/>
      <c r="G143" s="65"/>
      <c r="H143" s="65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64"/>
      <c r="B144" s="64"/>
      <c r="C144" s="65"/>
      <c r="D144" s="64"/>
      <c r="E144" s="64"/>
      <c r="F144" s="65"/>
      <c r="G144" s="65"/>
      <c r="H144" s="65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64"/>
      <c r="B145" s="64"/>
      <c r="C145" s="65"/>
      <c r="D145" s="64"/>
      <c r="E145" s="64"/>
      <c r="F145" s="65"/>
      <c r="G145" s="65"/>
      <c r="H145" s="65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64"/>
      <c r="B146" s="64"/>
      <c r="C146" s="65"/>
      <c r="D146" s="64"/>
      <c r="E146" s="64"/>
      <c r="F146" s="65"/>
      <c r="G146" s="65"/>
      <c r="H146" s="65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64"/>
      <c r="B147" s="64"/>
      <c r="C147" s="65"/>
      <c r="D147" s="64"/>
      <c r="E147" s="64"/>
      <c r="F147" s="65"/>
      <c r="G147" s="65"/>
      <c r="H147" s="65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64"/>
      <c r="B148" s="64"/>
      <c r="C148" s="65"/>
      <c r="D148" s="64"/>
      <c r="E148" s="64"/>
      <c r="F148" s="65"/>
      <c r="G148" s="65"/>
      <c r="H148" s="65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64"/>
      <c r="B149" s="64"/>
      <c r="C149" s="65"/>
      <c r="D149" s="64"/>
      <c r="E149" s="64"/>
      <c r="F149" s="65"/>
      <c r="G149" s="65"/>
      <c r="H149" s="65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64"/>
      <c r="B150" s="64"/>
      <c r="C150" s="65"/>
      <c r="D150" s="64"/>
      <c r="E150" s="64"/>
      <c r="F150" s="65"/>
      <c r="G150" s="65"/>
      <c r="H150" s="65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64"/>
      <c r="B151" s="64"/>
      <c r="C151" s="65"/>
      <c r="D151" s="64"/>
      <c r="E151" s="64"/>
      <c r="F151" s="65"/>
      <c r="G151" s="65"/>
      <c r="H151" s="65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64"/>
      <c r="B152" s="64"/>
      <c r="C152" s="65"/>
      <c r="D152" s="64"/>
      <c r="E152" s="64"/>
      <c r="F152" s="65"/>
      <c r="G152" s="65"/>
      <c r="H152" s="65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64"/>
      <c r="B153" s="64"/>
      <c r="C153" s="65"/>
      <c r="D153" s="64"/>
      <c r="E153" s="64"/>
      <c r="F153" s="65"/>
      <c r="G153" s="65"/>
      <c r="H153" s="65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64"/>
      <c r="B154" s="64"/>
      <c r="C154" s="65"/>
      <c r="D154" s="64"/>
      <c r="E154" s="64"/>
      <c r="F154" s="65"/>
      <c r="G154" s="65"/>
      <c r="H154" s="65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64"/>
      <c r="B155" s="64"/>
      <c r="C155" s="65"/>
      <c r="D155" s="64"/>
      <c r="E155" s="64"/>
      <c r="F155" s="65"/>
      <c r="G155" s="65"/>
      <c r="H155" s="65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64"/>
      <c r="B156" s="64"/>
      <c r="C156" s="65"/>
      <c r="D156" s="64"/>
      <c r="E156" s="64"/>
      <c r="F156" s="65"/>
      <c r="G156" s="65"/>
      <c r="H156" s="65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64"/>
      <c r="B157" s="64"/>
      <c r="C157" s="65"/>
      <c r="D157" s="64"/>
      <c r="E157" s="64"/>
      <c r="F157" s="65"/>
      <c r="G157" s="65"/>
      <c r="H157" s="65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64"/>
      <c r="B158" s="64"/>
      <c r="C158" s="65"/>
      <c r="D158" s="64"/>
      <c r="E158" s="64"/>
      <c r="F158" s="65"/>
      <c r="G158" s="65"/>
      <c r="H158" s="65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64"/>
      <c r="B159" s="64"/>
      <c r="C159" s="65"/>
      <c r="D159" s="64"/>
      <c r="E159" s="64"/>
      <c r="F159" s="65"/>
      <c r="G159" s="65"/>
      <c r="H159" s="65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64"/>
      <c r="B160" s="64"/>
      <c r="C160" s="65"/>
      <c r="D160" s="64"/>
      <c r="E160" s="64"/>
      <c r="F160" s="65"/>
      <c r="G160" s="65"/>
      <c r="H160" s="65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64"/>
      <c r="B161" s="64"/>
      <c r="C161" s="65"/>
      <c r="D161" s="64"/>
      <c r="E161" s="64"/>
      <c r="F161" s="65"/>
      <c r="G161" s="65"/>
      <c r="H161" s="65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64"/>
      <c r="B162" s="64"/>
      <c r="C162" s="65"/>
      <c r="D162" s="64"/>
      <c r="E162" s="64"/>
      <c r="F162" s="65"/>
      <c r="G162" s="65"/>
      <c r="H162" s="65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64"/>
      <c r="B163" s="64"/>
      <c r="C163" s="65"/>
      <c r="D163" s="64"/>
      <c r="E163" s="64"/>
      <c r="F163" s="65"/>
      <c r="G163" s="65"/>
      <c r="H163" s="65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64"/>
      <c r="B164" s="64"/>
      <c r="C164" s="65"/>
      <c r="D164" s="64"/>
      <c r="E164" s="64"/>
      <c r="F164" s="65"/>
      <c r="G164" s="65"/>
      <c r="H164" s="65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64"/>
      <c r="B165" s="64"/>
      <c r="C165" s="65"/>
      <c r="D165" s="64"/>
      <c r="E165" s="64"/>
      <c r="F165" s="65"/>
      <c r="G165" s="65"/>
      <c r="H165" s="65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64"/>
      <c r="B166" s="64"/>
      <c r="C166" s="65"/>
      <c r="D166" s="64"/>
      <c r="E166" s="64"/>
      <c r="F166" s="65"/>
      <c r="G166" s="65"/>
      <c r="H166" s="65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64"/>
      <c r="B167" s="64"/>
      <c r="C167" s="65"/>
      <c r="D167" s="64"/>
      <c r="E167" s="64"/>
      <c r="F167" s="65"/>
      <c r="G167" s="65"/>
      <c r="H167" s="65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64"/>
      <c r="B168" s="64"/>
      <c r="C168" s="65"/>
      <c r="D168" s="64"/>
      <c r="E168" s="64"/>
      <c r="F168" s="65"/>
      <c r="G168" s="65"/>
      <c r="H168" s="65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64"/>
      <c r="B169" s="64"/>
      <c r="C169" s="65"/>
      <c r="D169" s="64"/>
      <c r="E169" s="64"/>
      <c r="F169" s="65"/>
      <c r="G169" s="65"/>
      <c r="H169" s="65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64"/>
      <c r="B170" s="64"/>
      <c r="C170" s="65"/>
      <c r="D170" s="64"/>
      <c r="E170" s="64"/>
      <c r="F170" s="65"/>
      <c r="G170" s="65"/>
      <c r="H170" s="65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64"/>
      <c r="B171" s="64"/>
      <c r="C171" s="65"/>
      <c r="D171" s="64"/>
      <c r="E171" s="64"/>
      <c r="F171" s="65"/>
      <c r="G171" s="65"/>
      <c r="H171" s="65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64"/>
      <c r="B172" s="64"/>
      <c r="C172" s="65"/>
      <c r="D172" s="64"/>
      <c r="E172" s="64"/>
      <c r="F172" s="65"/>
      <c r="G172" s="65"/>
      <c r="H172" s="65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64"/>
      <c r="B173" s="64"/>
      <c r="C173" s="65"/>
      <c r="D173" s="64"/>
      <c r="E173" s="64"/>
      <c r="F173" s="65"/>
      <c r="G173" s="65"/>
      <c r="H173" s="65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64"/>
      <c r="B174" s="64"/>
      <c r="C174" s="65"/>
      <c r="D174" s="64"/>
      <c r="E174" s="64"/>
      <c r="F174" s="65"/>
      <c r="G174" s="65"/>
      <c r="H174" s="65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64"/>
      <c r="B175" s="64"/>
      <c r="C175" s="65"/>
      <c r="D175" s="64"/>
      <c r="E175" s="64"/>
      <c r="F175" s="65"/>
      <c r="G175" s="65"/>
      <c r="H175" s="65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64"/>
      <c r="B176" s="64"/>
      <c r="C176" s="65"/>
      <c r="D176" s="64"/>
      <c r="E176" s="64"/>
      <c r="F176" s="65"/>
      <c r="G176" s="65"/>
      <c r="H176" s="65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64"/>
      <c r="B177" s="64"/>
      <c r="C177" s="65"/>
      <c r="D177" s="64"/>
      <c r="E177" s="64"/>
      <c r="F177" s="65"/>
      <c r="G177" s="65"/>
      <c r="H177" s="65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64"/>
      <c r="B178" s="64"/>
      <c r="C178" s="65"/>
      <c r="D178" s="64"/>
      <c r="E178" s="64"/>
      <c r="F178" s="65"/>
      <c r="G178" s="65"/>
      <c r="H178" s="65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64"/>
      <c r="B179" s="64"/>
      <c r="C179" s="65"/>
      <c r="D179" s="64"/>
      <c r="E179" s="64"/>
      <c r="F179" s="65"/>
      <c r="G179" s="65"/>
      <c r="H179" s="65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64"/>
      <c r="B180" s="64"/>
      <c r="C180" s="65"/>
      <c r="D180" s="64"/>
      <c r="E180" s="64"/>
      <c r="F180" s="65"/>
      <c r="G180" s="65"/>
      <c r="H180" s="65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64"/>
      <c r="B181" s="64"/>
      <c r="C181" s="65"/>
      <c r="D181" s="64"/>
      <c r="E181" s="64"/>
      <c r="F181" s="65"/>
      <c r="G181" s="65"/>
      <c r="H181" s="65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64"/>
      <c r="B182" s="64"/>
      <c r="C182" s="65"/>
      <c r="D182" s="64"/>
      <c r="E182" s="64"/>
      <c r="F182" s="65"/>
      <c r="G182" s="65"/>
      <c r="H182" s="65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64"/>
      <c r="B183" s="64"/>
      <c r="C183" s="65"/>
      <c r="D183" s="64"/>
      <c r="E183" s="64"/>
      <c r="F183" s="65"/>
      <c r="G183" s="65"/>
      <c r="H183" s="65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64"/>
      <c r="B184" s="64"/>
      <c r="C184" s="65"/>
      <c r="D184" s="64"/>
      <c r="E184" s="64"/>
      <c r="F184" s="65"/>
      <c r="G184" s="65"/>
      <c r="H184" s="65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64"/>
      <c r="B185" s="64"/>
      <c r="C185" s="65"/>
      <c r="D185" s="64"/>
      <c r="E185" s="64"/>
      <c r="F185" s="65"/>
      <c r="G185" s="65"/>
      <c r="H185" s="65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64"/>
      <c r="B186" s="64"/>
      <c r="C186" s="65"/>
      <c r="D186" s="64"/>
      <c r="E186" s="64"/>
      <c r="F186" s="65"/>
      <c r="G186" s="65"/>
      <c r="H186" s="65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64"/>
      <c r="B187" s="64"/>
      <c r="C187" s="65"/>
      <c r="D187" s="64"/>
      <c r="E187" s="64"/>
      <c r="F187" s="65"/>
      <c r="G187" s="65"/>
      <c r="H187" s="65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64"/>
      <c r="B188" s="64"/>
      <c r="C188" s="65"/>
      <c r="D188" s="64"/>
      <c r="E188" s="64"/>
      <c r="F188" s="65"/>
      <c r="G188" s="65"/>
      <c r="H188" s="65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64"/>
      <c r="B189" s="64"/>
      <c r="C189" s="65"/>
      <c r="D189" s="64"/>
      <c r="E189" s="64"/>
      <c r="F189" s="65"/>
      <c r="G189" s="65"/>
      <c r="H189" s="65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64"/>
      <c r="B190" s="64"/>
      <c r="C190" s="65"/>
      <c r="D190" s="64"/>
      <c r="E190" s="64"/>
      <c r="F190" s="65"/>
      <c r="G190" s="65"/>
      <c r="H190" s="65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64"/>
      <c r="B191" s="64"/>
      <c r="C191" s="65"/>
      <c r="D191" s="64"/>
      <c r="E191" s="64"/>
      <c r="F191" s="65"/>
      <c r="G191" s="65"/>
      <c r="H191" s="65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64"/>
      <c r="B192" s="64"/>
      <c r="C192" s="65"/>
      <c r="D192" s="64"/>
      <c r="E192" s="64"/>
      <c r="F192" s="65"/>
      <c r="G192" s="65"/>
      <c r="H192" s="65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64"/>
      <c r="B193" s="64"/>
      <c r="C193" s="65"/>
      <c r="D193" s="64"/>
      <c r="E193" s="64"/>
      <c r="F193" s="65"/>
      <c r="G193" s="65"/>
      <c r="H193" s="65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64"/>
      <c r="B194" s="64"/>
      <c r="C194" s="65"/>
      <c r="D194" s="64"/>
      <c r="E194" s="64"/>
      <c r="F194" s="65"/>
      <c r="G194" s="65"/>
      <c r="H194" s="65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64"/>
      <c r="B195" s="64"/>
      <c r="C195" s="65"/>
      <c r="D195" s="64"/>
      <c r="E195" s="64"/>
      <c r="F195" s="65"/>
      <c r="G195" s="65"/>
      <c r="H195" s="65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64"/>
      <c r="B196" s="64"/>
      <c r="C196" s="65"/>
      <c r="D196" s="64"/>
      <c r="E196" s="64"/>
      <c r="F196" s="65"/>
      <c r="G196" s="65"/>
      <c r="H196" s="65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64"/>
      <c r="B197" s="64"/>
      <c r="C197" s="65"/>
      <c r="D197" s="64"/>
      <c r="E197" s="64"/>
      <c r="F197" s="65"/>
      <c r="G197" s="65"/>
      <c r="H197" s="65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64"/>
      <c r="B198" s="64"/>
      <c r="C198" s="65"/>
      <c r="D198" s="64"/>
      <c r="E198" s="64"/>
      <c r="F198" s="65"/>
      <c r="G198" s="65"/>
      <c r="H198" s="65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64"/>
      <c r="B199" s="64"/>
      <c r="C199" s="65"/>
      <c r="D199" s="64"/>
      <c r="E199" s="64"/>
      <c r="F199" s="65"/>
      <c r="G199" s="65"/>
      <c r="H199" s="65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64"/>
      <c r="B200" s="64"/>
      <c r="C200" s="65"/>
      <c r="D200" s="64"/>
      <c r="E200" s="64"/>
      <c r="F200" s="65"/>
      <c r="G200" s="65"/>
      <c r="H200" s="65"/>
      <c r="I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64"/>
      <c r="B201" s="64"/>
      <c r="C201" s="65"/>
      <c r="D201" s="64"/>
      <c r="E201" s="64"/>
      <c r="F201" s="65"/>
      <c r="G201" s="65"/>
      <c r="H201" s="65"/>
      <c r="I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64"/>
      <c r="B202" s="64"/>
      <c r="C202" s="65"/>
      <c r="D202" s="64"/>
      <c r="E202" s="64"/>
      <c r="F202" s="65"/>
      <c r="G202" s="65"/>
      <c r="H202" s="65"/>
      <c r="I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64"/>
      <c r="B203" s="64"/>
      <c r="C203" s="65"/>
      <c r="D203" s="64"/>
      <c r="E203" s="64"/>
      <c r="F203" s="65"/>
      <c r="G203" s="65"/>
      <c r="H203" s="65"/>
      <c r="I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64"/>
      <c r="B204" s="64"/>
      <c r="C204" s="65"/>
      <c r="D204" s="64"/>
      <c r="E204" s="64"/>
      <c r="F204" s="65"/>
      <c r="G204" s="65"/>
      <c r="H204" s="65"/>
      <c r="I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64"/>
      <c r="B205" s="64"/>
      <c r="C205" s="65"/>
      <c r="D205" s="64"/>
      <c r="E205" s="64"/>
      <c r="F205" s="65"/>
      <c r="G205" s="65"/>
      <c r="H205" s="65"/>
      <c r="I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64"/>
      <c r="B206" s="64"/>
      <c r="C206" s="65"/>
      <c r="D206" s="64"/>
      <c r="E206" s="64"/>
      <c r="F206" s="65"/>
      <c r="G206" s="65"/>
      <c r="H206" s="65"/>
      <c r="I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64"/>
      <c r="B207" s="64"/>
      <c r="C207" s="65"/>
      <c r="D207" s="64"/>
      <c r="E207" s="64"/>
      <c r="F207" s="65"/>
      <c r="G207" s="65"/>
      <c r="H207" s="65"/>
      <c r="I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64"/>
      <c r="B208" s="64"/>
      <c r="C208" s="65"/>
      <c r="D208" s="64"/>
      <c r="E208" s="64"/>
      <c r="F208" s="65"/>
      <c r="G208" s="65"/>
      <c r="H208" s="65"/>
      <c r="I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64"/>
      <c r="B209" s="64"/>
      <c r="C209" s="65"/>
      <c r="D209" s="64"/>
      <c r="E209" s="64"/>
      <c r="F209" s="65"/>
      <c r="G209" s="65"/>
      <c r="H209" s="65"/>
      <c r="I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64"/>
      <c r="B210" s="64"/>
      <c r="C210" s="65"/>
      <c r="D210" s="64"/>
      <c r="E210" s="64"/>
      <c r="F210" s="65"/>
      <c r="G210" s="65"/>
      <c r="H210" s="65"/>
      <c r="I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64"/>
      <c r="B211" s="64"/>
      <c r="C211" s="65"/>
      <c r="D211" s="64"/>
      <c r="E211" s="64"/>
      <c r="F211" s="65"/>
      <c r="G211" s="65"/>
      <c r="H211" s="65"/>
      <c r="I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64"/>
      <c r="B212" s="64"/>
      <c r="C212" s="65"/>
      <c r="D212" s="64"/>
      <c r="E212" s="64"/>
      <c r="F212" s="65"/>
      <c r="G212" s="65"/>
      <c r="H212" s="65"/>
      <c r="I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64"/>
      <c r="B213" s="64"/>
      <c r="C213" s="65"/>
      <c r="D213" s="64"/>
      <c r="E213" s="64"/>
      <c r="F213" s="65"/>
      <c r="G213" s="65"/>
      <c r="H213" s="65"/>
      <c r="I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64"/>
      <c r="B214" s="64"/>
      <c r="C214" s="65"/>
      <c r="D214" s="64"/>
      <c r="E214" s="64"/>
      <c r="F214" s="65"/>
      <c r="G214" s="65"/>
      <c r="H214" s="65"/>
      <c r="I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64"/>
      <c r="B215" s="64"/>
      <c r="C215" s="65"/>
      <c r="D215" s="64"/>
      <c r="E215" s="64"/>
      <c r="F215" s="65"/>
      <c r="G215" s="65"/>
      <c r="H215" s="65"/>
      <c r="I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64"/>
      <c r="B216" s="64"/>
      <c r="C216" s="65"/>
      <c r="D216" s="64"/>
      <c r="E216" s="64"/>
      <c r="F216" s="65"/>
      <c r="G216" s="65"/>
      <c r="H216" s="65"/>
      <c r="I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64"/>
      <c r="B217" s="64"/>
      <c r="C217" s="65"/>
      <c r="D217" s="64"/>
      <c r="E217" s="64"/>
      <c r="F217" s="65"/>
      <c r="G217" s="65"/>
      <c r="H217" s="65"/>
      <c r="I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64"/>
      <c r="B218" s="64"/>
      <c r="C218" s="65"/>
      <c r="D218" s="64"/>
      <c r="E218" s="64"/>
      <c r="F218" s="65"/>
      <c r="G218" s="65"/>
      <c r="H218" s="65"/>
      <c r="I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64"/>
      <c r="B219" s="64"/>
      <c r="C219" s="65"/>
      <c r="D219" s="64"/>
      <c r="E219" s="64"/>
      <c r="F219" s="65"/>
      <c r="G219" s="65"/>
      <c r="H219" s="65"/>
      <c r="I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64"/>
      <c r="B220" s="64"/>
      <c r="C220" s="65"/>
      <c r="D220" s="64"/>
      <c r="E220" s="64"/>
      <c r="F220" s="65"/>
      <c r="G220" s="65"/>
      <c r="H220" s="65"/>
      <c r="I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64"/>
      <c r="B221" s="64"/>
      <c r="C221" s="65"/>
      <c r="D221" s="64"/>
      <c r="E221" s="64"/>
      <c r="F221" s="65"/>
      <c r="G221" s="65"/>
      <c r="H221" s="65"/>
      <c r="I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64"/>
      <c r="B222" s="64"/>
      <c r="C222" s="65"/>
      <c r="D222" s="64"/>
      <c r="E222" s="64"/>
      <c r="F222" s="65"/>
      <c r="G222" s="65"/>
      <c r="H222" s="65"/>
      <c r="I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64"/>
      <c r="B223" s="64"/>
      <c r="C223" s="65"/>
      <c r="D223" s="64"/>
      <c r="E223" s="64"/>
      <c r="F223" s="65"/>
      <c r="G223" s="65"/>
      <c r="H223" s="65"/>
      <c r="I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64"/>
      <c r="B224" s="64"/>
      <c r="C224" s="65"/>
      <c r="D224" s="64"/>
      <c r="E224" s="64"/>
      <c r="F224" s="65"/>
      <c r="G224" s="65"/>
      <c r="H224" s="65"/>
      <c r="I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64"/>
      <c r="B225" s="64"/>
      <c r="C225" s="65"/>
      <c r="D225" s="64"/>
      <c r="E225" s="64"/>
      <c r="F225" s="65"/>
      <c r="G225" s="65"/>
      <c r="H225" s="65"/>
      <c r="I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64"/>
      <c r="B226" s="64"/>
      <c r="C226" s="66"/>
      <c r="D226" s="64"/>
      <c r="E226" s="64"/>
      <c r="F226" s="66"/>
      <c r="G226" s="66"/>
      <c r="H226" s="66"/>
    </row>
    <row r="227" ht="15.75" customHeight="1">
      <c r="D227" s="67"/>
      <c r="E227" s="67"/>
    </row>
    <row r="228" ht="15.75" customHeight="1">
      <c r="D228" s="67"/>
      <c r="E228" s="67"/>
    </row>
    <row r="229" ht="15.75" customHeight="1">
      <c r="D229" s="67"/>
      <c r="E229" s="67"/>
    </row>
    <row r="230" ht="15.75" customHeight="1">
      <c r="D230" s="67"/>
      <c r="E230" s="67"/>
    </row>
    <row r="231" ht="15.75" customHeight="1">
      <c r="D231" s="67"/>
      <c r="E231" s="67"/>
    </row>
    <row r="232" ht="15.75" customHeight="1">
      <c r="D232" s="67"/>
      <c r="E232" s="67"/>
    </row>
    <row r="233" ht="15.75" customHeight="1">
      <c r="D233" s="67"/>
      <c r="E233" s="67"/>
    </row>
    <row r="234" ht="15.75" customHeight="1">
      <c r="D234" s="67"/>
      <c r="E234" s="67"/>
    </row>
    <row r="235" ht="15.75" customHeight="1">
      <c r="D235" s="67"/>
      <c r="E235" s="67"/>
    </row>
    <row r="236" ht="15.75" customHeight="1">
      <c r="D236" s="67"/>
      <c r="E236" s="67"/>
    </row>
    <row r="237" ht="15.75" customHeight="1">
      <c r="D237" s="67"/>
      <c r="E237" s="67"/>
    </row>
    <row r="238" ht="15.75" customHeight="1">
      <c r="D238" s="67"/>
      <c r="E238" s="67"/>
    </row>
    <row r="239" ht="15.75" customHeight="1">
      <c r="D239" s="67"/>
      <c r="E239" s="67"/>
    </row>
    <row r="240" ht="15.75" customHeight="1">
      <c r="D240" s="67"/>
      <c r="E240" s="67"/>
    </row>
    <row r="241" ht="15.75" customHeight="1">
      <c r="D241" s="67"/>
      <c r="E241" s="67"/>
    </row>
    <row r="242" ht="15.75" customHeight="1">
      <c r="D242" s="67"/>
      <c r="E242" s="67"/>
    </row>
    <row r="243" ht="15.75" customHeight="1">
      <c r="D243" s="67"/>
      <c r="E243" s="67"/>
    </row>
    <row r="244" ht="15.75" customHeight="1">
      <c r="D244" s="67"/>
      <c r="E244" s="67"/>
    </row>
    <row r="245" ht="15.75" customHeight="1">
      <c r="D245" s="67"/>
      <c r="E245" s="67"/>
    </row>
    <row r="246" ht="15.75" customHeight="1">
      <c r="D246" s="67"/>
      <c r="E246" s="67"/>
    </row>
    <row r="247" ht="15.75" customHeight="1">
      <c r="D247" s="67"/>
      <c r="E247" s="67"/>
    </row>
    <row r="248" ht="15.75" customHeight="1">
      <c r="D248" s="67"/>
      <c r="E248" s="67"/>
    </row>
    <row r="249" ht="15.75" customHeight="1">
      <c r="D249" s="67"/>
      <c r="E249" s="67"/>
    </row>
    <row r="250" ht="15.75" customHeight="1">
      <c r="D250" s="67"/>
      <c r="E250" s="67"/>
    </row>
    <row r="251" ht="15.75" customHeight="1">
      <c r="D251" s="67"/>
      <c r="E251" s="67"/>
    </row>
    <row r="252" ht="15.75" customHeight="1">
      <c r="D252" s="67"/>
      <c r="E252" s="67"/>
    </row>
    <row r="253" ht="15.75" customHeight="1">
      <c r="D253" s="67"/>
      <c r="E253" s="67"/>
    </row>
    <row r="254" ht="15.75" customHeight="1">
      <c r="D254" s="67"/>
      <c r="E254" s="67"/>
    </row>
    <row r="255" ht="15.75" customHeight="1">
      <c r="D255" s="67"/>
      <c r="E255" s="67"/>
    </row>
    <row r="256" ht="15.75" customHeight="1">
      <c r="D256" s="67"/>
      <c r="E256" s="67"/>
    </row>
    <row r="257" ht="15.75" customHeight="1">
      <c r="D257" s="67"/>
      <c r="E257" s="67"/>
    </row>
    <row r="258" ht="15.75" customHeight="1">
      <c r="D258" s="67"/>
      <c r="E258" s="67"/>
    </row>
    <row r="259" ht="15.75" customHeight="1">
      <c r="D259" s="67"/>
      <c r="E259" s="67"/>
    </row>
    <row r="260" ht="15.75" customHeight="1">
      <c r="D260" s="67"/>
      <c r="E260" s="67"/>
    </row>
    <row r="261" ht="15.75" customHeight="1">
      <c r="D261" s="67"/>
      <c r="E261" s="67"/>
    </row>
    <row r="262" ht="15.75" customHeight="1">
      <c r="D262" s="67"/>
      <c r="E262" s="67"/>
    </row>
    <row r="263" ht="15.75" customHeight="1">
      <c r="D263" s="67"/>
      <c r="E263" s="67"/>
    </row>
    <row r="264" ht="15.75" customHeight="1">
      <c r="D264" s="67"/>
      <c r="E264" s="67"/>
    </row>
    <row r="265" ht="15.75" customHeight="1">
      <c r="D265" s="67"/>
      <c r="E265" s="67"/>
    </row>
    <row r="266" ht="15.75" customHeight="1">
      <c r="D266" s="67"/>
      <c r="E266" s="67"/>
    </row>
    <row r="267" ht="15.75" customHeight="1">
      <c r="D267" s="67"/>
      <c r="E267" s="67"/>
    </row>
    <row r="268" ht="15.75" customHeight="1">
      <c r="D268" s="67"/>
      <c r="E268" s="67"/>
    </row>
    <row r="269" ht="15.75" customHeight="1">
      <c r="D269" s="67"/>
      <c r="E269" s="67"/>
    </row>
    <row r="270" ht="15.75" customHeight="1">
      <c r="D270" s="67"/>
      <c r="E270" s="67"/>
    </row>
    <row r="271" ht="15.75" customHeight="1">
      <c r="D271" s="67"/>
      <c r="E271" s="67"/>
    </row>
    <row r="272" ht="15.75" customHeight="1">
      <c r="D272" s="67"/>
      <c r="E272" s="67"/>
    </row>
    <row r="273" ht="15.75" customHeight="1">
      <c r="D273" s="67"/>
      <c r="E273" s="67"/>
    </row>
    <row r="274" ht="15.75" customHeight="1">
      <c r="D274" s="67"/>
      <c r="E274" s="67"/>
    </row>
    <row r="275" ht="15.75" customHeight="1">
      <c r="D275" s="67"/>
      <c r="E275" s="67"/>
    </row>
    <row r="276" ht="15.75" customHeight="1">
      <c r="D276" s="67"/>
      <c r="E276" s="67"/>
    </row>
    <row r="277" ht="15.75" customHeight="1">
      <c r="D277" s="67"/>
      <c r="E277" s="67"/>
    </row>
    <row r="278" ht="15.75" customHeight="1">
      <c r="D278" s="67"/>
      <c r="E278" s="67"/>
    </row>
    <row r="279" ht="15.75" customHeight="1">
      <c r="D279" s="67"/>
      <c r="E279" s="67"/>
    </row>
    <row r="280" ht="15.75" customHeight="1">
      <c r="D280" s="67"/>
      <c r="E280" s="67"/>
    </row>
    <row r="281" ht="15.75" customHeight="1">
      <c r="D281" s="67"/>
      <c r="E281" s="67"/>
    </row>
    <row r="282" ht="15.75" customHeight="1">
      <c r="D282" s="67"/>
      <c r="E282" s="67"/>
    </row>
    <row r="283" ht="15.75" customHeight="1">
      <c r="D283" s="67"/>
      <c r="E283" s="67"/>
    </row>
    <row r="284" ht="15.75" customHeight="1">
      <c r="D284" s="67"/>
      <c r="E284" s="67"/>
    </row>
    <row r="285" ht="15.75" customHeight="1">
      <c r="D285" s="67"/>
      <c r="E285" s="67"/>
    </row>
    <row r="286" ht="15.75" customHeight="1">
      <c r="D286" s="67"/>
      <c r="E286" s="67"/>
    </row>
    <row r="287" ht="15.75" customHeight="1">
      <c r="D287" s="67"/>
      <c r="E287" s="67"/>
    </row>
    <row r="288" ht="15.75" customHeight="1">
      <c r="D288" s="67"/>
      <c r="E288" s="67"/>
    </row>
    <row r="289" ht="15.75" customHeight="1">
      <c r="D289" s="67"/>
      <c r="E289" s="67"/>
    </row>
    <row r="290" ht="15.75" customHeight="1">
      <c r="D290" s="67"/>
      <c r="E290" s="67"/>
    </row>
    <row r="291" ht="15.75" customHeight="1">
      <c r="D291" s="67"/>
      <c r="E291" s="67"/>
    </row>
    <row r="292" ht="15.75" customHeight="1">
      <c r="D292" s="67"/>
      <c r="E292" s="67"/>
    </row>
    <row r="293" ht="15.75" customHeight="1">
      <c r="D293" s="67"/>
      <c r="E293" s="67"/>
    </row>
    <row r="294" ht="15.75" customHeight="1">
      <c r="D294" s="67"/>
      <c r="E294" s="67"/>
    </row>
    <row r="295" ht="15.75" customHeight="1">
      <c r="D295" s="67"/>
      <c r="E295" s="67"/>
    </row>
    <row r="296" ht="15.75" customHeight="1">
      <c r="D296" s="67"/>
      <c r="E296" s="67"/>
    </row>
    <row r="297" ht="15.75" customHeight="1">
      <c r="D297" s="67"/>
      <c r="E297" s="67"/>
    </row>
    <row r="298" ht="15.75" customHeight="1">
      <c r="D298" s="67"/>
      <c r="E298" s="67"/>
    </row>
    <row r="299" ht="15.75" customHeight="1">
      <c r="D299" s="67"/>
      <c r="E299" s="67"/>
    </row>
    <row r="300" ht="15.75" customHeight="1">
      <c r="D300" s="67"/>
      <c r="E300" s="67"/>
    </row>
    <row r="301" ht="15.75" customHeight="1">
      <c r="D301" s="67"/>
      <c r="E301" s="67"/>
    </row>
    <row r="302" ht="15.75" customHeight="1">
      <c r="D302" s="67"/>
      <c r="E302" s="67"/>
    </row>
    <row r="303" ht="15.75" customHeight="1">
      <c r="D303" s="67"/>
      <c r="E303" s="67"/>
    </row>
    <row r="304" ht="15.75" customHeight="1">
      <c r="D304" s="67"/>
      <c r="E304" s="67"/>
    </row>
    <row r="305" ht="15.75" customHeight="1">
      <c r="D305" s="67"/>
      <c r="E305" s="67"/>
    </row>
    <row r="306" ht="15.75" customHeight="1">
      <c r="D306" s="67"/>
      <c r="E306" s="67"/>
    </row>
    <row r="307" ht="15.75" customHeight="1">
      <c r="D307" s="67"/>
      <c r="E307" s="67"/>
    </row>
    <row r="308" ht="15.75" customHeight="1">
      <c r="D308" s="67"/>
      <c r="E308" s="67"/>
    </row>
    <row r="309" ht="15.75" customHeight="1">
      <c r="D309" s="67"/>
      <c r="E309" s="67"/>
    </row>
    <row r="310" ht="15.75" customHeight="1">
      <c r="D310" s="67"/>
      <c r="E310" s="67"/>
    </row>
    <row r="311" ht="15.75" customHeight="1">
      <c r="D311" s="67"/>
      <c r="E311" s="67"/>
    </row>
    <row r="312" ht="15.75" customHeight="1">
      <c r="D312" s="67"/>
      <c r="E312" s="67"/>
    </row>
    <row r="313" ht="15.75" customHeight="1">
      <c r="D313" s="67"/>
      <c r="E313" s="67"/>
    </row>
    <row r="314" ht="15.75" customHeight="1">
      <c r="D314" s="67"/>
      <c r="E314" s="67"/>
    </row>
    <row r="315" ht="15.75" customHeight="1">
      <c r="D315" s="67"/>
      <c r="E315" s="67"/>
    </row>
    <row r="316" ht="15.75" customHeight="1">
      <c r="D316" s="67"/>
      <c r="E316" s="67"/>
    </row>
    <row r="317" ht="15.75" customHeight="1">
      <c r="D317" s="67"/>
      <c r="E317" s="67"/>
    </row>
    <row r="318" ht="15.75" customHeight="1">
      <c r="D318" s="67"/>
      <c r="E318" s="67"/>
    </row>
    <row r="319" ht="15.75" customHeight="1">
      <c r="D319" s="67"/>
      <c r="E319" s="67"/>
    </row>
    <row r="320" ht="15.75" customHeight="1">
      <c r="D320" s="67"/>
      <c r="E320" s="67"/>
    </row>
    <row r="321" ht="15.75" customHeight="1">
      <c r="D321" s="67"/>
      <c r="E321" s="67"/>
    </row>
    <row r="322" ht="15.75" customHeight="1">
      <c r="D322" s="67"/>
      <c r="E322" s="67"/>
    </row>
    <row r="323" ht="15.75" customHeight="1">
      <c r="D323" s="67"/>
      <c r="E323" s="67"/>
    </row>
    <row r="324" ht="15.75" customHeight="1">
      <c r="D324" s="67"/>
      <c r="E324" s="67"/>
    </row>
    <row r="325" ht="15.75" customHeight="1">
      <c r="D325" s="67"/>
      <c r="E325" s="67"/>
    </row>
    <row r="326" ht="15.75" customHeight="1">
      <c r="D326" s="67"/>
      <c r="E326" s="67"/>
    </row>
    <row r="327" ht="15.75" customHeight="1">
      <c r="D327" s="67"/>
      <c r="E327" s="67"/>
    </row>
    <row r="328" ht="15.75" customHeight="1">
      <c r="D328" s="67"/>
      <c r="E328" s="67"/>
    </row>
    <row r="329" ht="15.75" customHeight="1">
      <c r="D329" s="67"/>
      <c r="E329" s="67"/>
    </row>
    <row r="330" ht="15.75" customHeight="1">
      <c r="D330" s="67"/>
      <c r="E330" s="67"/>
    </row>
    <row r="331" ht="15.75" customHeight="1">
      <c r="D331" s="67"/>
      <c r="E331" s="67"/>
    </row>
    <row r="332" ht="15.75" customHeight="1">
      <c r="D332" s="67"/>
      <c r="E332" s="67"/>
    </row>
    <row r="333" ht="15.75" customHeight="1">
      <c r="D333" s="67"/>
      <c r="E333" s="67"/>
    </row>
    <row r="334" ht="15.75" customHeight="1">
      <c r="D334" s="67"/>
      <c r="E334" s="67"/>
    </row>
    <row r="335" ht="15.75" customHeight="1">
      <c r="D335" s="67"/>
      <c r="E335" s="67"/>
    </row>
    <row r="336" ht="15.75" customHeight="1">
      <c r="D336" s="67"/>
      <c r="E336" s="67"/>
    </row>
    <row r="337" ht="15.75" customHeight="1">
      <c r="D337" s="67"/>
      <c r="E337" s="67"/>
    </row>
    <row r="338" ht="15.75" customHeight="1">
      <c r="D338" s="67"/>
      <c r="E338" s="67"/>
    </row>
    <row r="339" ht="15.75" customHeight="1">
      <c r="D339" s="67"/>
      <c r="E339" s="67"/>
    </row>
    <row r="340" ht="15.75" customHeight="1">
      <c r="D340" s="67"/>
      <c r="E340" s="67"/>
    </row>
    <row r="341" ht="15.75" customHeight="1">
      <c r="D341" s="67"/>
      <c r="E341" s="67"/>
    </row>
    <row r="342" ht="15.75" customHeight="1">
      <c r="D342" s="67"/>
      <c r="E342" s="67"/>
    </row>
    <row r="343" ht="15.75" customHeight="1">
      <c r="D343" s="67"/>
      <c r="E343" s="67"/>
    </row>
    <row r="344" ht="15.75" customHeight="1">
      <c r="D344" s="67"/>
      <c r="E344" s="67"/>
    </row>
    <row r="345" ht="15.75" customHeight="1">
      <c r="D345" s="67"/>
      <c r="E345" s="67"/>
    </row>
    <row r="346" ht="15.75" customHeight="1">
      <c r="D346" s="67"/>
      <c r="E346" s="67"/>
    </row>
    <row r="347" ht="15.75" customHeight="1">
      <c r="D347" s="67"/>
      <c r="E347" s="67"/>
    </row>
    <row r="348" ht="15.75" customHeight="1">
      <c r="D348" s="67"/>
      <c r="E348" s="67"/>
    </row>
    <row r="349" ht="15.75" customHeight="1">
      <c r="D349" s="67"/>
      <c r="E349" s="67"/>
    </row>
    <row r="350" ht="15.75" customHeight="1">
      <c r="D350" s="67"/>
      <c r="E350" s="67"/>
    </row>
    <row r="351" ht="15.75" customHeight="1">
      <c r="D351" s="67"/>
      <c r="E351" s="67"/>
    </row>
    <row r="352" ht="15.75" customHeight="1">
      <c r="D352" s="67"/>
      <c r="E352" s="67"/>
    </row>
    <row r="353" ht="15.75" customHeight="1">
      <c r="D353" s="67"/>
      <c r="E353" s="67"/>
    </row>
    <row r="354" ht="15.75" customHeight="1">
      <c r="D354" s="67"/>
      <c r="E354" s="67"/>
    </row>
    <row r="355" ht="15.75" customHeight="1">
      <c r="D355" s="67"/>
      <c r="E355" s="67"/>
    </row>
    <row r="356" ht="15.75" customHeight="1">
      <c r="D356" s="67"/>
      <c r="E356" s="67"/>
    </row>
    <row r="357" ht="15.75" customHeight="1">
      <c r="D357" s="67"/>
      <c r="E357" s="67"/>
    </row>
    <row r="358" ht="15.75" customHeight="1">
      <c r="D358" s="67"/>
      <c r="E358" s="67"/>
    </row>
    <row r="359" ht="15.75" customHeight="1">
      <c r="D359" s="67"/>
      <c r="E359" s="67"/>
    </row>
    <row r="360" ht="15.75" customHeight="1">
      <c r="D360" s="67"/>
      <c r="E360" s="67"/>
    </row>
    <row r="361" ht="15.75" customHeight="1">
      <c r="D361" s="67"/>
      <c r="E361" s="67"/>
    </row>
    <row r="362" ht="15.75" customHeight="1">
      <c r="D362" s="67"/>
      <c r="E362" s="67"/>
    </row>
    <row r="363" ht="15.75" customHeight="1">
      <c r="D363" s="67"/>
      <c r="E363" s="67"/>
    </row>
    <row r="364" ht="15.75" customHeight="1">
      <c r="D364" s="67"/>
      <c r="E364" s="67"/>
    </row>
    <row r="365" ht="15.75" customHeight="1">
      <c r="D365" s="67"/>
      <c r="E365" s="67"/>
    </row>
    <row r="366" ht="15.75" customHeight="1">
      <c r="D366" s="67"/>
      <c r="E366" s="67"/>
    </row>
    <row r="367" ht="15.75" customHeight="1">
      <c r="D367" s="67"/>
      <c r="E367" s="67"/>
    </row>
    <row r="368" ht="15.75" customHeight="1">
      <c r="D368" s="67"/>
      <c r="E368" s="67"/>
    </row>
    <row r="369" ht="15.75" customHeight="1">
      <c r="D369" s="67"/>
      <c r="E369" s="67"/>
    </row>
    <row r="370" ht="15.75" customHeight="1">
      <c r="D370" s="67"/>
      <c r="E370" s="67"/>
    </row>
    <row r="371" ht="15.75" customHeight="1">
      <c r="D371" s="67"/>
      <c r="E371" s="67"/>
    </row>
    <row r="372" ht="15.75" customHeight="1">
      <c r="D372" s="67"/>
      <c r="E372" s="67"/>
    </row>
    <row r="373" ht="15.75" customHeight="1">
      <c r="D373" s="67"/>
      <c r="E373" s="67"/>
    </row>
    <row r="374" ht="15.75" customHeight="1">
      <c r="D374" s="67"/>
      <c r="E374" s="67"/>
    </row>
    <row r="375" ht="15.75" customHeight="1">
      <c r="D375" s="67"/>
      <c r="E375" s="67"/>
    </row>
    <row r="376" ht="15.75" customHeight="1">
      <c r="D376" s="67"/>
      <c r="E376" s="67"/>
    </row>
    <row r="377" ht="15.75" customHeight="1">
      <c r="D377" s="67"/>
      <c r="E377" s="67"/>
    </row>
    <row r="378" ht="15.75" customHeight="1">
      <c r="D378" s="67"/>
      <c r="E378" s="67"/>
    </row>
    <row r="379" ht="15.75" customHeight="1">
      <c r="D379" s="67"/>
      <c r="E379" s="67"/>
    </row>
    <row r="380" ht="15.75" customHeight="1">
      <c r="D380" s="67"/>
      <c r="E380" s="67"/>
    </row>
    <row r="381" ht="15.75" customHeight="1">
      <c r="D381" s="67"/>
      <c r="E381" s="67"/>
    </row>
    <row r="382" ht="15.75" customHeight="1">
      <c r="D382" s="67"/>
      <c r="E382" s="67"/>
    </row>
    <row r="383" ht="15.75" customHeight="1">
      <c r="D383" s="67"/>
      <c r="E383" s="67"/>
    </row>
    <row r="384" ht="15.75" customHeight="1">
      <c r="D384" s="67"/>
      <c r="E384" s="67"/>
    </row>
    <row r="385" ht="15.75" customHeight="1">
      <c r="D385" s="67"/>
      <c r="E385" s="67"/>
    </row>
    <row r="386" ht="15.75" customHeight="1">
      <c r="D386" s="67"/>
      <c r="E386" s="67"/>
    </row>
    <row r="387" ht="15.75" customHeight="1">
      <c r="D387" s="67"/>
      <c r="E387" s="67"/>
    </row>
    <row r="388" ht="15.75" customHeight="1">
      <c r="D388" s="67"/>
      <c r="E388" s="67"/>
    </row>
    <row r="389" ht="15.75" customHeight="1">
      <c r="D389" s="67"/>
      <c r="E389" s="67"/>
    </row>
    <row r="390" ht="15.75" customHeight="1">
      <c r="D390" s="67"/>
      <c r="E390" s="67"/>
    </row>
    <row r="391" ht="15.75" customHeight="1">
      <c r="D391" s="67"/>
      <c r="E391" s="67"/>
    </row>
    <row r="392" ht="15.75" customHeight="1">
      <c r="D392" s="67"/>
      <c r="E392" s="67"/>
    </row>
    <row r="393" ht="15.75" customHeight="1">
      <c r="D393" s="67"/>
      <c r="E393" s="67"/>
    </row>
    <row r="394" ht="15.75" customHeight="1">
      <c r="D394" s="67"/>
      <c r="E394" s="67"/>
    </row>
    <row r="395" ht="15.75" customHeight="1">
      <c r="D395" s="67"/>
      <c r="E395" s="67"/>
    </row>
    <row r="396" ht="15.75" customHeight="1">
      <c r="D396" s="67"/>
      <c r="E396" s="67"/>
    </row>
    <row r="397" ht="15.75" customHeight="1">
      <c r="D397" s="67"/>
      <c r="E397" s="67"/>
    </row>
    <row r="398" ht="15.75" customHeight="1">
      <c r="D398" s="67"/>
      <c r="E398" s="67"/>
    </row>
    <row r="399" ht="15.75" customHeight="1">
      <c r="D399" s="67"/>
      <c r="E399" s="67"/>
    </row>
    <row r="400" ht="15.75" customHeight="1">
      <c r="D400" s="67"/>
      <c r="E400" s="67"/>
    </row>
    <row r="401" ht="15.75" customHeight="1">
      <c r="D401" s="67"/>
      <c r="E401" s="67"/>
    </row>
    <row r="402" ht="15.75" customHeight="1">
      <c r="D402" s="67"/>
      <c r="E402" s="67"/>
    </row>
    <row r="403" ht="15.75" customHeight="1">
      <c r="D403" s="67"/>
      <c r="E403" s="67"/>
    </row>
    <row r="404" ht="15.75" customHeight="1">
      <c r="D404" s="67"/>
      <c r="E404" s="67"/>
    </row>
    <row r="405" ht="15.75" customHeight="1">
      <c r="D405" s="67"/>
      <c r="E405" s="67"/>
    </row>
    <row r="406" ht="15.75" customHeight="1">
      <c r="D406" s="67"/>
      <c r="E406" s="67"/>
    </row>
    <row r="407" ht="15.75" customHeight="1">
      <c r="D407" s="67"/>
      <c r="E407" s="67"/>
    </row>
    <row r="408" ht="15.75" customHeight="1">
      <c r="D408" s="67"/>
      <c r="E408" s="67"/>
    </row>
    <row r="409" ht="15.75" customHeight="1">
      <c r="D409" s="67"/>
      <c r="E409" s="67"/>
    </row>
    <row r="410" ht="15.75" customHeight="1">
      <c r="D410" s="67"/>
      <c r="E410" s="67"/>
    </row>
    <row r="411" ht="15.75" customHeight="1">
      <c r="D411" s="67"/>
      <c r="E411" s="67"/>
    </row>
    <row r="412" ht="15.75" customHeight="1">
      <c r="D412" s="67"/>
      <c r="E412" s="67"/>
    </row>
    <row r="413" ht="15.75" customHeight="1">
      <c r="D413" s="67"/>
      <c r="E413" s="67"/>
    </row>
    <row r="414" ht="15.75" customHeight="1">
      <c r="D414" s="67"/>
      <c r="E414" s="67"/>
    </row>
    <row r="415" ht="15.75" customHeight="1">
      <c r="D415" s="67"/>
      <c r="E415" s="67"/>
    </row>
    <row r="416" ht="15.75" customHeight="1">
      <c r="D416" s="67"/>
      <c r="E416" s="67"/>
    </row>
    <row r="417" ht="15.75" customHeight="1">
      <c r="D417" s="67"/>
      <c r="E417" s="67"/>
    </row>
    <row r="418" ht="15.75" customHeight="1">
      <c r="D418" s="67"/>
      <c r="E418" s="67"/>
    </row>
    <row r="419" ht="15.75" customHeight="1">
      <c r="D419" s="67"/>
      <c r="E419" s="67"/>
    </row>
    <row r="420" ht="15.75" customHeight="1">
      <c r="D420" s="67"/>
      <c r="E420" s="67"/>
    </row>
    <row r="421" ht="15.75" customHeight="1">
      <c r="D421" s="67"/>
      <c r="E421" s="67"/>
    </row>
    <row r="422" ht="15.75" customHeight="1">
      <c r="D422" s="67"/>
      <c r="E422" s="67"/>
    </row>
    <row r="423" ht="15.75" customHeight="1">
      <c r="D423" s="67"/>
      <c r="E423" s="67"/>
    </row>
    <row r="424" ht="15.75" customHeight="1">
      <c r="D424" s="67"/>
      <c r="E424" s="67"/>
    </row>
    <row r="425" ht="15.75" customHeight="1">
      <c r="D425" s="67"/>
      <c r="E425" s="67"/>
    </row>
    <row r="426" ht="15.75" customHeight="1">
      <c r="D426" s="67"/>
      <c r="E426" s="67"/>
    </row>
    <row r="427" ht="15.75" customHeight="1">
      <c r="D427" s="67"/>
      <c r="E427" s="67"/>
    </row>
    <row r="428" ht="15.75" customHeight="1">
      <c r="D428" s="67"/>
      <c r="E428" s="67"/>
    </row>
    <row r="429" ht="15.75" customHeight="1">
      <c r="D429" s="67"/>
      <c r="E429" s="67"/>
    </row>
    <row r="430" ht="15.75" customHeight="1">
      <c r="D430" s="67"/>
      <c r="E430" s="67"/>
    </row>
    <row r="431" ht="15.75" customHeight="1">
      <c r="D431" s="67"/>
      <c r="E431" s="67"/>
    </row>
    <row r="432" ht="15.75" customHeight="1">
      <c r="D432" s="67"/>
      <c r="E432" s="67"/>
    </row>
    <row r="433" ht="15.75" customHeight="1">
      <c r="D433" s="67"/>
      <c r="E433" s="67"/>
    </row>
    <row r="434" ht="15.75" customHeight="1">
      <c r="D434" s="67"/>
      <c r="E434" s="67"/>
    </row>
    <row r="435" ht="15.75" customHeight="1">
      <c r="D435" s="67"/>
      <c r="E435" s="67"/>
    </row>
    <row r="436" ht="15.75" customHeight="1">
      <c r="D436" s="67"/>
      <c r="E436" s="67"/>
    </row>
    <row r="437" ht="15.75" customHeight="1">
      <c r="D437" s="67"/>
      <c r="E437" s="67"/>
    </row>
    <row r="438" ht="15.75" customHeight="1">
      <c r="D438" s="67"/>
      <c r="E438" s="67"/>
    </row>
    <row r="439" ht="15.75" customHeight="1">
      <c r="D439" s="67"/>
      <c r="E439" s="67"/>
    </row>
    <row r="440" ht="15.75" customHeight="1">
      <c r="D440" s="67"/>
      <c r="E440" s="67"/>
    </row>
    <row r="441" ht="15.75" customHeight="1">
      <c r="D441" s="67"/>
      <c r="E441" s="67"/>
    </row>
    <row r="442" ht="15.75" customHeight="1">
      <c r="D442" s="67"/>
      <c r="E442" s="67"/>
    </row>
    <row r="443" ht="15.75" customHeight="1">
      <c r="D443" s="67"/>
      <c r="E443" s="67"/>
    </row>
    <row r="444" ht="15.75" customHeight="1">
      <c r="D444" s="67"/>
      <c r="E444" s="67"/>
    </row>
    <row r="445" ht="15.75" customHeight="1">
      <c r="D445" s="67"/>
      <c r="E445" s="67"/>
    </row>
    <row r="446" ht="15.75" customHeight="1">
      <c r="D446" s="67"/>
      <c r="E446" s="67"/>
    </row>
    <row r="447" ht="15.75" customHeight="1">
      <c r="D447" s="67"/>
      <c r="E447" s="67"/>
    </row>
    <row r="448" ht="15.75" customHeight="1">
      <c r="D448" s="67"/>
      <c r="E448" s="67"/>
    </row>
    <row r="449" ht="15.75" customHeight="1">
      <c r="D449" s="67"/>
      <c r="E449" s="67"/>
    </row>
    <row r="450" ht="15.75" customHeight="1">
      <c r="D450" s="67"/>
      <c r="E450" s="67"/>
    </row>
    <row r="451" ht="15.75" customHeight="1">
      <c r="D451" s="67"/>
      <c r="E451" s="67"/>
    </row>
    <row r="452" ht="15.75" customHeight="1">
      <c r="D452" s="67"/>
      <c r="E452" s="67"/>
    </row>
    <row r="453" ht="15.75" customHeight="1">
      <c r="D453" s="67"/>
      <c r="E453" s="67"/>
    </row>
    <row r="454" ht="15.75" customHeight="1">
      <c r="D454" s="67"/>
      <c r="E454" s="67"/>
    </row>
    <row r="455" ht="15.75" customHeight="1">
      <c r="D455" s="67"/>
      <c r="E455" s="67"/>
    </row>
    <row r="456" ht="15.75" customHeight="1">
      <c r="D456" s="67"/>
      <c r="E456" s="67"/>
    </row>
    <row r="457" ht="15.75" customHeight="1">
      <c r="D457" s="67"/>
      <c r="E457" s="67"/>
    </row>
    <row r="458" ht="15.75" customHeight="1">
      <c r="D458" s="67"/>
      <c r="E458" s="67"/>
    </row>
    <row r="459" ht="15.75" customHeight="1">
      <c r="D459" s="67"/>
      <c r="E459" s="67"/>
    </row>
    <row r="460" ht="15.75" customHeight="1">
      <c r="D460" s="67"/>
      <c r="E460" s="67"/>
    </row>
    <row r="461" ht="15.75" customHeight="1">
      <c r="D461" s="67"/>
      <c r="E461" s="67"/>
    </row>
    <row r="462" ht="15.75" customHeight="1">
      <c r="D462" s="67"/>
      <c r="E462" s="67"/>
    </row>
    <row r="463" ht="15.75" customHeight="1">
      <c r="D463" s="67"/>
      <c r="E463" s="67"/>
    </row>
    <row r="464" ht="15.75" customHeight="1">
      <c r="D464" s="67"/>
      <c r="E464" s="67"/>
    </row>
    <row r="465" ht="15.75" customHeight="1">
      <c r="D465" s="67"/>
      <c r="E465" s="67"/>
    </row>
    <row r="466" ht="15.75" customHeight="1">
      <c r="D466" s="67"/>
      <c r="E466" s="67"/>
    </row>
    <row r="467" ht="15.75" customHeight="1">
      <c r="D467" s="67"/>
      <c r="E467" s="67"/>
    </row>
    <row r="468" ht="15.75" customHeight="1">
      <c r="D468" s="67"/>
      <c r="E468" s="67"/>
    </row>
    <row r="469" ht="15.75" customHeight="1">
      <c r="D469" s="67"/>
      <c r="E469" s="67"/>
    </row>
    <row r="470" ht="15.75" customHeight="1">
      <c r="D470" s="67"/>
      <c r="E470" s="67"/>
    </row>
    <row r="471" ht="15.75" customHeight="1">
      <c r="D471" s="67"/>
      <c r="E471" s="67"/>
    </row>
    <row r="472" ht="15.75" customHeight="1">
      <c r="D472" s="67"/>
      <c r="E472" s="67"/>
    </row>
    <row r="473" ht="15.75" customHeight="1">
      <c r="D473" s="67"/>
      <c r="E473" s="67"/>
    </row>
    <row r="474" ht="15.75" customHeight="1">
      <c r="D474" s="67"/>
      <c r="E474" s="67"/>
    </row>
    <row r="475" ht="15.75" customHeight="1">
      <c r="D475" s="67"/>
      <c r="E475" s="67"/>
    </row>
    <row r="476" ht="15.75" customHeight="1">
      <c r="D476" s="67"/>
      <c r="E476" s="67"/>
    </row>
    <row r="477" ht="15.75" customHeight="1">
      <c r="D477" s="67"/>
      <c r="E477" s="67"/>
    </row>
    <row r="478" ht="15.75" customHeight="1">
      <c r="D478" s="67"/>
      <c r="E478" s="67"/>
    </row>
    <row r="479" ht="15.75" customHeight="1">
      <c r="D479" s="67"/>
      <c r="E479" s="67"/>
    </row>
    <row r="480" ht="15.75" customHeight="1">
      <c r="D480" s="67"/>
      <c r="E480" s="67"/>
    </row>
    <row r="481" ht="15.75" customHeight="1">
      <c r="D481" s="67"/>
      <c r="E481" s="67"/>
    </row>
    <row r="482" ht="15.75" customHeight="1">
      <c r="D482" s="67"/>
      <c r="E482" s="67"/>
    </row>
    <row r="483" ht="15.75" customHeight="1">
      <c r="D483" s="67"/>
      <c r="E483" s="67"/>
    </row>
    <row r="484" ht="15.75" customHeight="1">
      <c r="D484" s="67"/>
      <c r="E484" s="67"/>
    </row>
    <row r="485" ht="15.75" customHeight="1">
      <c r="D485" s="67"/>
      <c r="E485" s="67"/>
    </row>
    <row r="486" ht="15.75" customHeight="1">
      <c r="D486" s="67"/>
      <c r="E486" s="67"/>
    </row>
    <row r="487" ht="15.75" customHeight="1">
      <c r="D487" s="67"/>
      <c r="E487" s="67"/>
    </row>
    <row r="488" ht="15.75" customHeight="1">
      <c r="D488" s="67"/>
      <c r="E488" s="67"/>
    </row>
    <row r="489" ht="15.75" customHeight="1">
      <c r="D489" s="67"/>
      <c r="E489" s="67"/>
    </row>
    <row r="490" ht="15.75" customHeight="1">
      <c r="D490" s="67"/>
      <c r="E490" s="67"/>
    </row>
    <row r="491" ht="15.75" customHeight="1">
      <c r="D491" s="67"/>
      <c r="E491" s="67"/>
    </row>
    <row r="492" ht="15.75" customHeight="1">
      <c r="D492" s="67"/>
      <c r="E492" s="67"/>
    </row>
    <row r="493" ht="15.75" customHeight="1">
      <c r="D493" s="67"/>
      <c r="E493" s="67"/>
    </row>
    <row r="494" ht="15.75" customHeight="1">
      <c r="D494" s="67"/>
      <c r="E494" s="67"/>
    </row>
    <row r="495" ht="15.75" customHeight="1">
      <c r="D495" s="67"/>
      <c r="E495" s="67"/>
    </row>
    <row r="496" ht="15.75" customHeight="1">
      <c r="D496" s="67"/>
      <c r="E496" s="67"/>
    </row>
    <row r="497" ht="15.75" customHeight="1">
      <c r="D497" s="67"/>
      <c r="E497" s="67"/>
    </row>
    <row r="498" ht="15.75" customHeight="1">
      <c r="D498" s="67"/>
      <c r="E498" s="67"/>
    </row>
    <row r="499" ht="15.75" customHeight="1">
      <c r="D499" s="67"/>
      <c r="E499" s="67"/>
    </row>
    <row r="500" ht="15.75" customHeight="1">
      <c r="D500" s="67"/>
      <c r="E500" s="67"/>
    </row>
    <row r="501" ht="15.75" customHeight="1">
      <c r="D501" s="67"/>
      <c r="E501" s="67"/>
    </row>
    <row r="502" ht="15.75" customHeight="1">
      <c r="D502" s="67"/>
      <c r="E502" s="67"/>
    </row>
    <row r="503" ht="15.75" customHeight="1">
      <c r="D503" s="67"/>
      <c r="E503" s="67"/>
    </row>
    <row r="504" ht="15.75" customHeight="1">
      <c r="D504" s="67"/>
      <c r="E504" s="67"/>
    </row>
    <row r="505" ht="15.75" customHeight="1">
      <c r="D505" s="67"/>
      <c r="E505" s="67"/>
    </row>
    <row r="506" ht="15.75" customHeight="1">
      <c r="D506" s="67"/>
      <c r="E506" s="67"/>
    </row>
    <row r="507" ht="15.75" customHeight="1">
      <c r="D507" s="67"/>
      <c r="E507" s="67"/>
    </row>
    <row r="508" ht="15.75" customHeight="1">
      <c r="D508" s="67"/>
      <c r="E508" s="67"/>
    </row>
    <row r="509" ht="15.75" customHeight="1">
      <c r="D509" s="67"/>
      <c r="E509" s="67"/>
    </row>
    <row r="510" ht="15.75" customHeight="1">
      <c r="D510" s="67"/>
      <c r="E510" s="67"/>
    </row>
    <row r="511" ht="15.75" customHeight="1">
      <c r="D511" s="67"/>
      <c r="E511" s="67"/>
    </row>
    <row r="512" ht="15.75" customHeight="1">
      <c r="D512" s="67"/>
      <c r="E512" s="67"/>
    </row>
    <row r="513" ht="15.75" customHeight="1">
      <c r="D513" s="67"/>
      <c r="E513" s="67"/>
    </row>
    <row r="514" ht="15.75" customHeight="1">
      <c r="D514" s="67"/>
      <c r="E514" s="67"/>
    </row>
    <row r="515" ht="15.75" customHeight="1">
      <c r="D515" s="67"/>
      <c r="E515" s="67"/>
    </row>
    <row r="516" ht="15.75" customHeight="1">
      <c r="D516" s="67"/>
      <c r="E516" s="67"/>
    </row>
    <row r="517" ht="15.75" customHeight="1">
      <c r="D517" s="67"/>
      <c r="E517" s="67"/>
    </row>
    <row r="518" ht="15.75" customHeight="1">
      <c r="D518" s="67"/>
      <c r="E518" s="67"/>
    </row>
    <row r="519" ht="15.75" customHeight="1">
      <c r="D519" s="67"/>
      <c r="E519" s="67"/>
    </row>
    <row r="520" ht="15.75" customHeight="1">
      <c r="D520" s="67"/>
      <c r="E520" s="67"/>
    </row>
    <row r="521" ht="15.75" customHeight="1">
      <c r="D521" s="67"/>
      <c r="E521" s="67"/>
    </row>
    <row r="522" ht="15.75" customHeight="1">
      <c r="D522" s="67"/>
      <c r="E522" s="67"/>
    </row>
    <row r="523" ht="15.75" customHeight="1">
      <c r="D523" s="67"/>
      <c r="E523" s="67"/>
    </row>
    <row r="524" ht="15.75" customHeight="1">
      <c r="D524" s="67"/>
      <c r="E524" s="67"/>
    </row>
    <row r="525" ht="15.75" customHeight="1">
      <c r="D525" s="67"/>
      <c r="E525" s="67"/>
    </row>
    <row r="526" ht="15.75" customHeight="1">
      <c r="D526" s="67"/>
      <c r="E526" s="67"/>
    </row>
    <row r="527" ht="15.75" customHeight="1">
      <c r="D527" s="67"/>
      <c r="E527" s="67"/>
    </row>
    <row r="528" ht="15.75" customHeight="1">
      <c r="D528" s="67"/>
      <c r="E528" s="67"/>
    </row>
    <row r="529" ht="15.75" customHeight="1">
      <c r="D529" s="67"/>
      <c r="E529" s="67"/>
    </row>
    <row r="530" ht="15.75" customHeight="1">
      <c r="D530" s="67"/>
      <c r="E530" s="67"/>
    </row>
    <row r="531" ht="15.75" customHeight="1">
      <c r="D531" s="67"/>
      <c r="E531" s="67"/>
    </row>
    <row r="532" ht="15.75" customHeight="1">
      <c r="D532" s="67"/>
      <c r="E532" s="67"/>
    </row>
    <row r="533" ht="15.75" customHeight="1">
      <c r="D533" s="67"/>
      <c r="E533" s="67"/>
    </row>
    <row r="534" ht="15.75" customHeight="1">
      <c r="D534" s="67"/>
      <c r="E534" s="67"/>
    </row>
    <row r="535" ht="15.75" customHeight="1">
      <c r="D535" s="67"/>
      <c r="E535" s="67"/>
    </row>
    <row r="536" ht="15.75" customHeight="1">
      <c r="D536" s="67"/>
      <c r="E536" s="67"/>
    </row>
    <row r="537" ht="15.75" customHeight="1">
      <c r="D537" s="67"/>
      <c r="E537" s="67"/>
    </row>
    <row r="538" ht="15.75" customHeight="1">
      <c r="D538" s="67"/>
      <c r="E538" s="67"/>
    </row>
    <row r="539" ht="15.75" customHeight="1">
      <c r="D539" s="67"/>
      <c r="E539" s="67"/>
    </row>
    <row r="540" ht="15.75" customHeight="1">
      <c r="D540" s="67"/>
      <c r="E540" s="67"/>
    </row>
    <row r="541" ht="15.75" customHeight="1">
      <c r="D541" s="67"/>
      <c r="E541" s="67"/>
    </row>
    <row r="542" ht="15.75" customHeight="1">
      <c r="D542" s="67"/>
      <c r="E542" s="67"/>
    </row>
    <row r="543" ht="15.75" customHeight="1">
      <c r="D543" s="67"/>
      <c r="E543" s="67"/>
    </row>
    <row r="544" ht="15.75" customHeight="1">
      <c r="D544" s="67"/>
      <c r="E544" s="67"/>
    </row>
    <row r="545" ht="15.75" customHeight="1">
      <c r="D545" s="67"/>
      <c r="E545" s="67"/>
    </row>
    <row r="546" ht="15.75" customHeight="1">
      <c r="D546" s="67"/>
      <c r="E546" s="67"/>
    </row>
    <row r="547" ht="15.75" customHeight="1">
      <c r="D547" s="67"/>
      <c r="E547" s="67"/>
    </row>
    <row r="548" ht="15.75" customHeight="1">
      <c r="D548" s="67"/>
      <c r="E548" s="67"/>
    </row>
    <row r="549" ht="15.75" customHeight="1">
      <c r="D549" s="67"/>
      <c r="E549" s="67"/>
    </row>
    <row r="550" ht="15.75" customHeight="1">
      <c r="D550" s="67"/>
      <c r="E550" s="67"/>
    </row>
    <row r="551" ht="15.75" customHeight="1">
      <c r="D551" s="67"/>
      <c r="E551" s="67"/>
    </row>
    <row r="552" ht="15.75" customHeight="1">
      <c r="D552" s="67"/>
      <c r="E552" s="67"/>
    </row>
    <row r="553" ht="15.75" customHeight="1">
      <c r="D553" s="67"/>
      <c r="E553" s="67"/>
    </row>
    <row r="554" ht="15.75" customHeight="1">
      <c r="D554" s="67"/>
      <c r="E554" s="67"/>
    </row>
    <row r="555" ht="15.75" customHeight="1">
      <c r="D555" s="67"/>
      <c r="E555" s="67"/>
    </row>
    <row r="556" ht="15.75" customHeight="1">
      <c r="D556" s="67"/>
      <c r="E556" s="67"/>
    </row>
    <row r="557" ht="15.75" customHeight="1">
      <c r="D557" s="67"/>
      <c r="E557" s="67"/>
    </row>
    <row r="558" ht="15.75" customHeight="1">
      <c r="D558" s="67"/>
      <c r="E558" s="67"/>
    </row>
    <row r="559" ht="15.75" customHeight="1">
      <c r="D559" s="67"/>
      <c r="E559" s="67"/>
    </row>
    <row r="560" ht="15.75" customHeight="1">
      <c r="D560" s="67"/>
      <c r="E560" s="67"/>
    </row>
    <row r="561" ht="15.75" customHeight="1">
      <c r="D561" s="67"/>
      <c r="E561" s="67"/>
    </row>
    <row r="562" ht="15.75" customHeight="1">
      <c r="D562" s="67"/>
      <c r="E562" s="67"/>
    </row>
    <row r="563" ht="15.75" customHeight="1">
      <c r="D563" s="67"/>
      <c r="E563" s="67"/>
    </row>
    <row r="564" ht="15.75" customHeight="1">
      <c r="D564" s="67"/>
      <c r="E564" s="67"/>
    </row>
    <row r="565" ht="15.75" customHeight="1">
      <c r="D565" s="67"/>
      <c r="E565" s="67"/>
    </row>
    <row r="566" ht="15.75" customHeight="1">
      <c r="D566" s="67"/>
      <c r="E566" s="67"/>
    </row>
    <row r="567" ht="15.75" customHeight="1">
      <c r="D567" s="67"/>
      <c r="E567" s="67"/>
    </row>
    <row r="568" ht="15.75" customHeight="1">
      <c r="D568" s="67"/>
      <c r="E568" s="67"/>
    </row>
    <row r="569" ht="15.75" customHeight="1">
      <c r="D569" s="67"/>
      <c r="E569" s="67"/>
    </row>
    <row r="570" ht="15.75" customHeight="1">
      <c r="D570" s="67"/>
      <c r="E570" s="67"/>
    </row>
    <row r="571" ht="15.75" customHeight="1">
      <c r="D571" s="67"/>
      <c r="E571" s="67"/>
    </row>
    <row r="572" ht="15.75" customHeight="1">
      <c r="D572" s="67"/>
      <c r="E572" s="67"/>
    </row>
    <row r="573" ht="15.75" customHeight="1">
      <c r="D573" s="67"/>
      <c r="E573" s="67"/>
    </row>
    <row r="574" ht="15.75" customHeight="1">
      <c r="D574" s="67"/>
      <c r="E574" s="67"/>
    </row>
    <row r="575" ht="15.75" customHeight="1">
      <c r="D575" s="67"/>
      <c r="E575" s="67"/>
    </row>
    <row r="576" ht="15.75" customHeight="1">
      <c r="D576" s="67"/>
      <c r="E576" s="67"/>
    </row>
    <row r="577" ht="15.75" customHeight="1">
      <c r="D577" s="67"/>
      <c r="E577" s="67"/>
    </row>
    <row r="578" ht="15.75" customHeight="1">
      <c r="D578" s="67"/>
      <c r="E578" s="67"/>
    </row>
    <row r="579" ht="15.75" customHeight="1">
      <c r="D579" s="67"/>
      <c r="E579" s="67"/>
    </row>
    <row r="580" ht="15.75" customHeight="1">
      <c r="D580" s="67"/>
      <c r="E580" s="67"/>
    </row>
    <row r="581" ht="15.75" customHeight="1">
      <c r="D581" s="67"/>
      <c r="E581" s="67"/>
    </row>
    <row r="582" ht="15.75" customHeight="1">
      <c r="D582" s="67"/>
      <c r="E582" s="67"/>
    </row>
    <row r="583" ht="15.75" customHeight="1">
      <c r="D583" s="67"/>
      <c r="E583" s="67"/>
    </row>
    <row r="584" ht="15.75" customHeight="1">
      <c r="D584" s="67"/>
      <c r="E584" s="67"/>
    </row>
    <row r="585" ht="15.75" customHeight="1">
      <c r="D585" s="67"/>
      <c r="E585" s="67"/>
    </row>
    <row r="586" ht="15.75" customHeight="1">
      <c r="D586" s="67"/>
      <c r="E586" s="67"/>
    </row>
    <row r="587" ht="15.75" customHeight="1">
      <c r="D587" s="67"/>
      <c r="E587" s="67"/>
    </row>
    <row r="588" ht="15.75" customHeight="1">
      <c r="D588" s="67"/>
      <c r="E588" s="67"/>
    </row>
    <row r="589" ht="15.75" customHeight="1">
      <c r="D589" s="67"/>
      <c r="E589" s="67"/>
    </row>
    <row r="590" ht="15.75" customHeight="1">
      <c r="D590" s="67"/>
      <c r="E590" s="67"/>
    </row>
    <row r="591" ht="15.75" customHeight="1">
      <c r="D591" s="67"/>
      <c r="E591" s="67"/>
    </row>
    <row r="592" ht="15.75" customHeight="1">
      <c r="D592" s="67"/>
      <c r="E592" s="67"/>
    </row>
    <row r="593" ht="15.75" customHeight="1">
      <c r="D593" s="67"/>
      <c r="E593" s="67"/>
    </row>
    <row r="594" ht="15.75" customHeight="1">
      <c r="D594" s="67"/>
      <c r="E594" s="67"/>
    </row>
    <row r="595" ht="15.75" customHeight="1">
      <c r="D595" s="67"/>
      <c r="E595" s="67"/>
    </row>
    <row r="596" ht="15.75" customHeight="1">
      <c r="D596" s="67"/>
      <c r="E596" s="67"/>
    </row>
    <row r="597" ht="15.75" customHeight="1">
      <c r="D597" s="67"/>
      <c r="E597" s="67"/>
    </row>
    <row r="598" ht="15.75" customHeight="1">
      <c r="D598" s="67"/>
      <c r="E598" s="67"/>
    </row>
    <row r="599" ht="15.75" customHeight="1">
      <c r="D599" s="67"/>
      <c r="E599" s="67"/>
    </row>
    <row r="600" ht="15.75" customHeight="1">
      <c r="D600" s="67"/>
      <c r="E600" s="67"/>
    </row>
    <row r="601" ht="15.75" customHeight="1">
      <c r="D601" s="67"/>
      <c r="E601" s="67"/>
    </row>
    <row r="602" ht="15.75" customHeight="1">
      <c r="D602" s="67"/>
      <c r="E602" s="67"/>
    </row>
    <row r="603" ht="15.75" customHeight="1">
      <c r="D603" s="67"/>
      <c r="E603" s="67"/>
    </row>
    <row r="604" ht="15.75" customHeight="1">
      <c r="D604" s="67"/>
      <c r="E604" s="67"/>
    </row>
    <row r="605" ht="15.75" customHeight="1">
      <c r="D605" s="67"/>
      <c r="E605" s="67"/>
    </row>
    <row r="606" ht="15.75" customHeight="1">
      <c r="D606" s="67"/>
      <c r="E606" s="67"/>
    </row>
    <row r="607" ht="15.75" customHeight="1">
      <c r="D607" s="67"/>
      <c r="E607" s="67"/>
    </row>
    <row r="608" ht="15.75" customHeight="1">
      <c r="D608" s="67"/>
      <c r="E608" s="67"/>
    </row>
    <row r="609" ht="15.75" customHeight="1">
      <c r="D609" s="67"/>
      <c r="E609" s="67"/>
    </row>
    <row r="610" ht="15.75" customHeight="1">
      <c r="D610" s="67"/>
      <c r="E610" s="67"/>
    </row>
    <row r="611" ht="15.75" customHeight="1">
      <c r="D611" s="67"/>
      <c r="E611" s="67"/>
    </row>
    <row r="612" ht="15.75" customHeight="1">
      <c r="D612" s="67"/>
      <c r="E612" s="67"/>
    </row>
    <row r="613" ht="15.75" customHeight="1">
      <c r="D613" s="67"/>
      <c r="E613" s="67"/>
    </row>
    <row r="614" ht="15.75" customHeight="1">
      <c r="D614" s="67"/>
      <c r="E614" s="67"/>
    </row>
    <row r="615" ht="15.75" customHeight="1">
      <c r="D615" s="67"/>
      <c r="E615" s="67"/>
    </row>
    <row r="616" ht="15.75" customHeight="1">
      <c r="D616" s="67"/>
      <c r="E616" s="67"/>
    </row>
    <row r="617" ht="15.75" customHeight="1">
      <c r="D617" s="67"/>
      <c r="E617" s="67"/>
    </row>
    <row r="618" ht="15.75" customHeight="1">
      <c r="D618" s="67"/>
      <c r="E618" s="67"/>
    </row>
    <row r="619" ht="15.75" customHeight="1">
      <c r="D619" s="67"/>
      <c r="E619" s="67"/>
    </row>
    <row r="620" ht="15.75" customHeight="1">
      <c r="D620" s="67"/>
      <c r="E620" s="67"/>
    </row>
    <row r="621" ht="15.75" customHeight="1">
      <c r="D621" s="67"/>
      <c r="E621" s="67"/>
    </row>
    <row r="622" ht="15.75" customHeight="1">
      <c r="D622" s="67"/>
      <c r="E622" s="67"/>
    </row>
    <row r="623" ht="15.75" customHeight="1">
      <c r="D623" s="67"/>
      <c r="E623" s="67"/>
    </row>
    <row r="624" ht="15.75" customHeight="1">
      <c r="D624" s="67"/>
      <c r="E624" s="67"/>
    </row>
    <row r="625" ht="15.75" customHeight="1">
      <c r="D625" s="67"/>
      <c r="E625" s="67"/>
    </row>
    <row r="626" ht="15.75" customHeight="1">
      <c r="D626" s="67"/>
      <c r="E626" s="67"/>
    </row>
    <row r="627" ht="15.75" customHeight="1">
      <c r="D627" s="67"/>
      <c r="E627" s="67"/>
    </row>
    <row r="628" ht="15.75" customHeight="1">
      <c r="D628" s="67"/>
      <c r="E628" s="67"/>
    </row>
    <row r="629" ht="15.75" customHeight="1">
      <c r="D629" s="67"/>
      <c r="E629" s="67"/>
    </row>
    <row r="630" ht="15.75" customHeight="1">
      <c r="D630" s="67"/>
      <c r="E630" s="67"/>
    </row>
    <row r="631" ht="15.75" customHeight="1">
      <c r="D631" s="67"/>
      <c r="E631" s="67"/>
    </row>
    <row r="632" ht="15.75" customHeight="1">
      <c r="D632" s="67"/>
      <c r="E632" s="67"/>
    </row>
    <row r="633" ht="15.75" customHeight="1">
      <c r="D633" s="67"/>
      <c r="E633" s="67"/>
    </row>
    <row r="634" ht="15.75" customHeight="1">
      <c r="D634" s="67"/>
      <c r="E634" s="67"/>
    </row>
    <row r="635" ht="15.75" customHeight="1">
      <c r="D635" s="67"/>
      <c r="E635" s="67"/>
    </row>
    <row r="636" ht="15.75" customHeight="1">
      <c r="D636" s="67"/>
      <c r="E636" s="67"/>
    </row>
    <row r="637" ht="15.75" customHeight="1">
      <c r="D637" s="67"/>
      <c r="E637" s="67"/>
    </row>
    <row r="638" ht="15.75" customHeight="1">
      <c r="D638" s="67"/>
      <c r="E638" s="67"/>
    </row>
    <row r="639" ht="15.75" customHeight="1">
      <c r="D639" s="67"/>
      <c r="E639" s="67"/>
    </row>
    <row r="640" ht="15.75" customHeight="1">
      <c r="D640" s="67"/>
      <c r="E640" s="67"/>
    </row>
    <row r="641" ht="15.75" customHeight="1">
      <c r="D641" s="67"/>
      <c r="E641" s="67"/>
    </row>
    <row r="642" ht="15.75" customHeight="1">
      <c r="D642" s="67"/>
      <c r="E642" s="67"/>
    </row>
    <row r="643" ht="15.75" customHeight="1">
      <c r="D643" s="67"/>
      <c r="E643" s="67"/>
    </row>
    <row r="644" ht="15.75" customHeight="1">
      <c r="D644" s="67"/>
      <c r="E644" s="67"/>
    </row>
    <row r="645" ht="15.75" customHeight="1">
      <c r="D645" s="67"/>
      <c r="E645" s="67"/>
    </row>
    <row r="646" ht="15.75" customHeight="1">
      <c r="D646" s="67"/>
      <c r="E646" s="67"/>
    </row>
    <row r="647" ht="15.75" customHeight="1">
      <c r="D647" s="67"/>
      <c r="E647" s="67"/>
    </row>
    <row r="648" ht="15.75" customHeight="1">
      <c r="D648" s="67"/>
      <c r="E648" s="67"/>
    </row>
    <row r="649" ht="15.75" customHeight="1">
      <c r="D649" s="67"/>
      <c r="E649" s="67"/>
    </row>
    <row r="650" ht="15.75" customHeight="1">
      <c r="D650" s="67"/>
      <c r="E650" s="67"/>
    </row>
    <row r="651" ht="15.75" customHeight="1">
      <c r="D651" s="67"/>
      <c r="E651" s="67"/>
    </row>
    <row r="652" ht="15.75" customHeight="1">
      <c r="D652" s="67"/>
      <c r="E652" s="67"/>
    </row>
    <row r="653" ht="15.75" customHeight="1">
      <c r="D653" s="67"/>
      <c r="E653" s="67"/>
    </row>
    <row r="654" ht="15.75" customHeight="1">
      <c r="D654" s="67"/>
      <c r="E654" s="67"/>
    </row>
    <row r="655" ht="15.75" customHeight="1">
      <c r="D655" s="67"/>
      <c r="E655" s="67"/>
    </row>
    <row r="656" ht="15.75" customHeight="1">
      <c r="D656" s="67"/>
      <c r="E656" s="67"/>
    </row>
    <row r="657" ht="15.75" customHeight="1">
      <c r="D657" s="67"/>
      <c r="E657" s="67"/>
    </row>
    <row r="658" ht="15.75" customHeight="1">
      <c r="D658" s="67"/>
      <c r="E658" s="67"/>
    </row>
    <row r="659" ht="15.75" customHeight="1">
      <c r="D659" s="67"/>
      <c r="E659" s="67"/>
    </row>
    <row r="660" ht="15.75" customHeight="1">
      <c r="D660" s="67"/>
      <c r="E660" s="67"/>
    </row>
    <row r="661" ht="15.75" customHeight="1">
      <c r="D661" s="67"/>
      <c r="E661" s="67"/>
    </row>
    <row r="662" ht="15.75" customHeight="1">
      <c r="D662" s="67"/>
      <c r="E662" s="67"/>
    </row>
    <row r="663" ht="15.75" customHeight="1">
      <c r="D663" s="67"/>
      <c r="E663" s="67"/>
    </row>
    <row r="664" ht="15.75" customHeight="1">
      <c r="D664" s="67"/>
      <c r="E664" s="67"/>
    </row>
    <row r="665" ht="15.75" customHeight="1">
      <c r="D665" s="67"/>
      <c r="E665" s="67"/>
    </row>
    <row r="666" ht="15.75" customHeight="1">
      <c r="D666" s="67"/>
      <c r="E666" s="67"/>
    </row>
    <row r="667" ht="15.75" customHeight="1">
      <c r="D667" s="67"/>
      <c r="E667" s="67"/>
    </row>
    <row r="668" ht="15.75" customHeight="1">
      <c r="D668" s="67"/>
      <c r="E668" s="67"/>
    </row>
    <row r="669" ht="15.75" customHeight="1">
      <c r="D669" s="67"/>
      <c r="E669" s="67"/>
    </row>
    <row r="670" ht="15.75" customHeight="1">
      <c r="D670" s="67"/>
      <c r="E670" s="67"/>
    </row>
    <row r="671" ht="15.75" customHeight="1">
      <c r="D671" s="67"/>
      <c r="E671" s="67"/>
    </row>
    <row r="672" ht="15.75" customHeight="1">
      <c r="D672" s="67"/>
      <c r="E672" s="67"/>
    </row>
    <row r="673" ht="15.75" customHeight="1">
      <c r="D673" s="67"/>
      <c r="E673" s="67"/>
    </row>
    <row r="674" ht="15.75" customHeight="1">
      <c r="D674" s="67"/>
      <c r="E674" s="67"/>
    </row>
    <row r="675" ht="15.75" customHeight="1">
      <c r="D675" s="67"/>
      <c r="E675" s="67"/>
    </row>
    <row r="676" ht="15.75" customHeight="1">
      <c r="D676" s="67"/>
      <c r="E676" s="67"/>
    </row>
    <row r="677" ht="15.75" customHeight="1">
      <c r="D677" s="67"/>
      <c r="E677" s="67"/>
    </row>
    <row r="678" ht="15.75" customHeight="1">
      <c r="D678" s="67"/>
      <c r="E678" s="67"/>
    </row>
    <row r="679" ht="15.75" customHeight="1">
      <c r="D679" s="67"/>
      <c r="E679" s="67"/>
    </row>
    <row r="680" ht="15.75" customHeight="1">
      <c r="D680" s="67"/>
      <c r="E680" s="67"/>
    </row>
    <row r="681" ht="15.75" customHeight="1">
      <c r="D681" s="67"/>
      <c r="E681" s="67"/>
    </row>
    <row r="682" ht="15.75" customHeight="1">
      <c r="D682" s="67"/>
      <c r="E682" s="67"/>
    </row>
    <row r="683" ht="15.75" customHeight="1">
      <c r="D683" s="67"/>
      <c r="E683" s="67"/>
    </row>
    <row r="684" ht="15.75" customHeight="1">
      <c r="D684" s="67"/>
      <c r="E684" s="67"/>
    </row>
    <row r="685" ht="15.75" customHeight="1">
      <c r="D685" s="67"/>
      <c r="E685" s="67"/>
    </row>
    <row r="686" ht="15.75" customHeight="1">
      <c r="D686" s="67"/>
      <c r="E686" s="67"/>
    </row>
    <row r="687" ht="15.75" customHeight="1">
      <c r="D687" s="67"/>
      <c r="E687" s="67"/>
    </row>
    <row r="688" ht="15.75" customHeight="1">
      <c r="D688" s="67"/>
      <c r="E688" s="67"/>
    </row>
    <row r="689" ht="15.75" customHeight="1">
      <c r="D689" s="67"/>
      <c r="E689" s="67"/>
    </row>
    <row r="690" ht="15.75" customHeight="1">
      <c r="D690" s="67"/>
      <c r="E690" s="67"/>
    </row>
    <row r="691" ht="15.75" customHeight="1">
      <c r="D691" s="67"/>
      <c r="E691" s="67"/>
    </row>
    <row r="692" ht="15.75" customHeight="1">
      <c r="D692" s="67"/>
      <c r="E692" s="67"/>
    </row>
    <row r="693" ht="15.75" customHeight="1">
      <c r="D693" s="67"/>
      <c r="E693" s="67"/>
    </row>
    <row r="694" ht="15.75" customHeight="1">
      <c r="D694" s="67"/>
      <c r="E694" s="67"/>
    </row>
    <row r="695" ht="15.75" customHeight="1">
      <c r="D695" s="67"/>
      <c r="E695" s="67"/>
    </row>
    <row r="696" ht="15.75" customHeight="1">
      <c r="D696" s="67"/>
      <c r="E696" s="67"/>
    </row>
    <row r="697" ht="15.75" customHeight="1">
      <c r="D697" s="67"/>
      <c r="E697" s="67"/>
    </row>
    <row r="698" ht="15.75" customHeight="1">
      <c r="D698" s="67"/>
      <c r="E698" s="67"/>
    </row>
    <row r="699" ht="15.75" customHeight="1">
      <c r="D699" s="67"/>
      <c r="E699" s="67"/>
    </row>
    <row r="700" ht="15.75" customHeight="1">
      <c r="D700" s="67"/>
      <c r="E700" s="67"/>
    </row>
    <row r="701" ht="15.75" customHeight="1">
      <c r="D701" s="67"/>
      <c r="E701" s="67"/>
    </row>
    <row r="702" ht="15.75" customHeight="1">
      <c r="D702" s="67"/>
      <c r="E702" s="67"/>
    </row>
    <row r="703" ht="15.75" customHeight="1">
      <c r="D703" s="67"/>
      <c r="E703" s="67"/>
    </row>
    <row r="704" ht="15.75" customHeight="1">
      <c r="D704" s="67"/>
      <c r="E704" s="67"/>
    </row>
    <row r="705" ht="15.75" customHeight="1">
      <c r="D705" s="67"/>
      <c r="E705" s="67"/>
    </row>
    <row r="706" ht="15.75" customHeight="1">
      <c r="D706" s="67"/>
      <c r="E706" s="67"/>
    </row>
    <row r="707" ht="15.75" customHeight="1">
      <c r="D707" s="67"/>
      <c r="E707" s="67"/>
    </row>
    <row r="708" ht="15.75" customHeight="1">
      <c r="D708" s="67"/>
      <c r="E708" s="67"/>
    </row>
    <row r="709" ht="15.75" customHeight="1">
      <c r="D709" s="67"/>
      <c r="E709" s="67"/>
    </row>
    <row r="710" ht="15.75" customHeight="1">
      <c r="D710" s="67"/>
      <c r="E710" s="67"/>
    </row>
    <row r="711" ht="15.75" customHeight="1">
      <c r="D711" s="67"/>
      <c r="E711" s="67"/>
    </row>
    <row r="712" ht="15.75" customHeight="1">
      <c r="D712" s="67"/>
      <c r="E712" s="67"/>
    </row>
    <row r="713" ht="15.75" customHeight="1">
      <c r="D713" s="67"/>
      <c r="E713" s="67"/>
    </row>
    <row r="714" ht="15.75" customHeight="1">
      <c r="D714" s="67"/>
      <c r="E714" s="67"/>
    </row>
    <row r="715" ht="15.75" customHeight="1">
      <c r="D715" s="67"/>
      <c r="E715" s="67"/>
    </row>
    <row r="716" ht="15.75" customHeight="1">
      <c r="D716" s="67"/>
      <c r="E716" s="67"/>
    </row>
    <row r="717" ht="15.75" customHeight="1">
      <c r="D717" s="67"/>
      <c r="E717" s="67"/>
    </row>
    <row r="718" ht="15.75" customHeight="1">
      <c r="D718" s="67"/>
      <c r="E718" s="67"/>
    </row>
    <row r="719" ht="15.75" customHeight="1">
      <c r="D719" s="67"/>
      <c r="E719" s="67"/>
    </row>
    <row r="720" ht="15.75" customHeight="1">
      <c r="D720" s="67"/>
      <c r="E720" s="67"/>
    </row>
    <row r="721" ht="15.75" customHeight="1">
      <c r="D721" s="67"/>
      <c r="E721" s="67"/>
    </row>
    <row r="722" ht="15.75" customHeight="1">
      <c r="D722" s="67"/>
      <c r="E722" s="67"/>
    </row>
    <row r="723" ht="15.75" customHeight="1">
      <c r="D723" s="67"/>
      <c r="E723" s="67"/>
    </row>
    <row r="724" ht="15.75" customHeight="1">
      <c r="D724" s="67"/>
      <c r="E724" s="67"/>
    </row>
    <row r="725" ht="15.75" customHeight="1">
      <c r="D725" s="67"/>
      <c r="E725" s="67"/>
    </row>
    <row r="726" ht="15.75" customHeight="1">
      <c r="D726" s="67"/>
      <c r="E726" s="67"/>
    </row>
    <row r="727" ht="15.75" customHeight="1">
      <c r="D727" s="67"/>
      <c r="E727" s="67"/>
    </row>
    <row r="728" ht="15.75" customHeight="1">
      <c r="D728" s="67"/>
      <c r="E728" s="67"/>
    </row>
    <row r="729" ht="15.75" customHeight="1">
      <c r="D729" s="67"/>
      <c r="E729" s="67"/>
    </row>
    <row r="730" ht="15.75" customHeight="1">
      <c r="D730" s="67"/>
      <c r="E730" s="67"/>
    </row>
    <row r="731" ht="15.75" customHeight="1">
      <c r="D731" s="67"/>
      <c r="E731" s="67"/>
    </row>
    <row r="732" ht="15.75" customHeight="1">
      <c r="D732" s="67"/>
      <c r="E732" s="67"/>
    </row>
    <row r="733" ht="15.75" customHeight="1">
      <c r="D733" s="67"/>
      <c r="E733" s="67"/>
    </row>
    <row r="734" ht="15.75" customHeight="1">
      <c r="D734" s="67"/>
      <c r="E734" s="67"/>
    </row>
    <row r="735" ht="15.75" customHeight="1">
      <c r="D735" s="67"/>
      <c r="E735" s="67"/>
    </row>
    <row r="736" ht="15.75" customHeight="1">
      <c r="D736" s="67"/>
      <c r="E736" s="67"/>
    </row>
    <row r="737" ht="15.75" customHeight="1">
      <c r="D737" s="67"/>
      <c r="E737" s="67"/>
    </row>
    <row r="738" ht="15.75" customHeight="1">
      <c r="D738" s="67"/>
      <c r="E738" s="67"/>
    </row>
    <row r="739" ht="15.75" customHeight="1">
      <c r="D739" s="67"/>
      <c r="E739" s="67"/>
    </row>
    <row r="740" ht="15.75" customHeight="1">
      <c r="D740" s="67"/>
      <c r="E740" s="67"/>
    </row>
    <row r="741" ht="15.75" customHeight="1">
      <c r="D741" s="67"/>
      <c r="E741" s="67"/>
    </row>
    <row r="742" ht="15.75" customHeight="1">
      <c r="D742" s="67"/>
      <c r="E742" s="67"/>
    </row>
    <row r="743" ht="15.75" customHeight="1">
      <c r="D743" s="67"/>
      <c r="E743" s="67"/>
    </row>
    <row r="744" ht="15.75" customHeight="1">
      <c r="D744" s="67"/>
      <c r="E744" s="67"/>
    </row>
    <row r="745" ht="15.75" customHeight="1">
      <c r="D745" s="67"/>
      <c r="E745" s="67"/>
    </row>
    <row r="746" ht="15.75" customHeight="1">
      <c r="D746" s="67"/>
      <c r="E746" s="67"/>
    </row>
    <row r="747" ht="15.75" customHeight="1">
      <c r="D747" s="67"/>
      <c r="E747" s="67"/>
    </row>
    <row r="748" ht="15.75" customHeight="1">
      <c r="D748" s="67"/>
      <c r="E748" s="67"/>
    </row>
    <row r="749" ht="15.75" customHeight="1">
      <c r="D749" s="67"/>
      <c r="E749" s="67"/>
    </row>
    <row r="750" ht="15.75" customHeight="1">
      <c r="D750" s="67"/>
      <c r="E750" s="67"/>
    </row>
    <row r="751" ht="15.75" customHeight="1">
      <c r="D751" s="67"/>
      <c r="E751" s="67"/>
    </row>
    <row r="752" ht="15.75" customHeight="1">
      <c r="D752" s="67"/>
      <c r="E752" s="67"/>
    </row>
    <row r="753" ht="15.75" customHeight="1">
      <c r="D753" s="67"/>
      <c r="E753" s="67"/>
    </row>
    <row r="754" ht="15.75" customHeight="1">
      <c r="D754" s="67"/>
      <c r="E754" s="67"/>
    </row>
    <row r="755" ht="15.75" customHeight="1">
      <c r="D755" s="67"/>
      <c r="E755" s="67"/>
    </row>
    <row r="756" ht="15.75" customHeight="1">
      <c r="D756" s="67"/>
      <c r="E756" s="67"/>
    </row>
    <row r="757" ht="15.75" customHeight="1">
      <c r="D757" s="67"/>
      <c r="E757" s="67"/>
    </row>
    <row r="758" ht="15.75" customHeight="1">
      <c r="D758" s="67"/>
      <c r="E758" s="67"/>
    </row>
    <row r="759" ht="15.75" customHeight="1">
      <c r="D759" s="67"/>
      <c r="E759" s="67"/>
    </row>
    <row r="760" ht="15.75" customHeight="1">
      <c r="D760" s="67"/>
      <c r="E760" s="67"/>
    </row>
    <row r="761" ht="15.75" customHeight="1">
      <c r="D761" s="67"/>
      <c r="E761" s="67"/>
    </row>
    <row r="762" ht="15.75" customHeight="1">
      <c r="D762" s="67"/>
      <c r="E762" s="67"/>
    </row>
    <row r="763" ht="15.75" customHeight="1">
      <c r="D763" s="67"/>
      <c r="E763" s="67"/>
    </row>
    <row r="764" ht="15.75" customHeight="1">
      <c r="D764" s="67"/>
      <c r="E764" s="67"/>
    </row>
    <row r="765" ht="15.75" customHeight="1">
      <c r="D765" s="67"/>
      <c r="E765" s="67"/>
    </row>
    <row r="766" ht="15.75" customHeight="1">
      <c r="D766" s="67"/>
      <c r="E766" s="67"/>
    </row>
    <row r="767" ht="15.75" customHeight="1">
      <c r="D767" s="67"/>
      <c r="E767" s="67"/>
    </row>
    <row r="768" ht="15.75" customHeight="1">
      <c r="D768" s="67"/>
      <c r="E768" s="67"/>
    </row>
    <row r="769" ht="15.75" customHeight="1">
      <c r="D769" s="67"/>
      <c r="E769" s="67"/>
    </row>
    <row r="770" ht="15.75" customHeight="1">
      <c r="D770" s="67"/>
      <c r="E770" s="67"/>
    </row>
    <row r="771" ht="15.75" customHeight="1">
      <c r="D771" s="67"/>
      <c r="E771" s="67"/>
    </row>
    <row r="772" ht="15.75" customHeight="1">
      <c r="D772" s="67"/>
      <c r="E772" s="67"/>
    </row>
    <row r="773" ht="15.75" customHeight="1">
      <c r="D773" s="67"/>
      <c r="E773" s="67"/>
    </row>
    <row r="774" ht="15.75" customHeight="1">
      <c r="D774" s="67"/>
      <c r="E774" s="67"/>
    </row>
    <row r="775" ht="15.75" customHeight="1">
      <c r="D775" s="67"/>
      <c r="E775" s="67"/>
    </row>
    <row r="776" ht="15.75" customHeight="1">
      <c r="D776" s="67"/>
      <c r="E776" s="67"/>
    </row>
    <row r="777" ht="15.75" customHeight="1">
      <c r="D777" s="67"/>
      <c r="E777" s="67"/>
    </row>
    <row r="778" ht="15.75" customHeight="1">
      <c r="D778" s="67"/>
      <c r="E778" s="67"/>
    </row>
    <row r="779" ht="15.75" customHeight="1">
      <c r="D779" s="67"/>
      <c r="E779" s="67"/>
    </row>
    <row r="780" ht="15.75" customHeight="1">
      <c r="D780" s="67"/>
      <c r="E780" s="67"/>
    </row>
    <row r="781" ht="15.75" customHeight="1">
      <c r="D781" s="67"/>
      <c r="E781" s="67"/>
    </row>
    <row r="782" ht="15.75" customHeight="1">
      <c r="D782" s="67"/>
      <c r="E782" s="67"/>
    </row>
    <row r="783" ht="15.75" customHeight="1">
      <c r="D783" s="67"/>
      <c r="E783" s="67"/>
    </row>
    <row r="784" ht="15.75" customHeight="1">
      <c r="D784" s="67"/>
      <c r="E784" s="67"/>
    </row>
    <row r="785" ht="15.75" customHeight="1">
      <c r="D785" s="67"/>
      <c r="E785" s="67"/>
    </row>
    <row r="786" ht="15.75" customHeight="1">
      <c r="D786" s="67"/>
      <c r="E786" s="67"/>
    </row>
    <row r="787" ht="15.75" customHeight="1">
      <c r="D787" s="67"/>
      <c r="E787" s="67"/>
    </row>
    <row r="788" ht="15.75" customHeight="1">
      <c r="D788" s="67"/>
      <c r="E788" s="67"/>
    </row>
    <row r="789" ht="15.75" customHeight="1">
      <c r="D789" s="67"/>
      <c r="E789" s="67"/>
    </row>
    <row r="790" ht="15.75" customHeight="1">
      <c r="D790" s="67"/>
      <c r="E790" s="67"/>
    </row>
    <row r="791" ht="15.75" customHeight="1">
      <c r="D791" s="67"/>
      <c r="E791" s="67"/>
    </row>
    <row r="792" ht="15.75" customHeight="1">
      <c r="D792" s="67"/>
      <c r="E792" s="67"/>
    </row>
    <row r="793" ht="15.75" customHeight="1">
      <c r="D793" s="67"/>
      <c r="E793" s="67"/>
    </row>
    <row r="794" ht="15.75" customHeight="1">
      <c r="D794" s="67"/>
      <c r="E794" s="67"/>
    </row>
    <row r="795" ht="15.75" customHeight="1">
      <c r="D795" s="67"/>
      <c r="E795" s="67"/>
    </row>
    <row r="796" ht="15.75" customHeight="1">
      <c r="D796" s="67"/>
      <c r="E796" s="67"/>
    </row>
    <row r="797" ht="15.75" customHeight="1">
      <c r="D797" s="67"/>
      <c r="E797" s="67"/>
    </row>
    <row r="798" ht="15.75" customHeight="1">
      <c r="D798" s="67"/>
      <c r="E798" s="67"/>
    </row>
    <row r="799" ht="15.75" customHeight="1">
      <c r="D799" s="67"/>
      <c r="E799" s="67"/>
    </row>
    <row r="800" ht="15.75" customHeight="1">
      <c r="D800" s="67"/>
      <c r="E800" s="67"/>
    </row>
    <row r="801" ht="15.75" customHeight="1">
      <c r="D801" s="67"/>
      <c r="E801" s="67"/>
    </row>
    <row r="802" ht="15.75" customHeight="1">
      <c r="D802" s="67"/>
      <c r="E802" s="67"/>
    </row>
    <row r="803" ht="15.75" customHeight="1">
      <c r="D803" s="67"/>
      <c r="E803" s="67"/>
    </row>
    <row r="804" ht="15.75" customHeight="1">
      <c r="D804" s="67"/>
      <c r="E804" s="67"/>
    </row>
    <row r="805" ht="15.75" customHeight="1">
      <c r="D805" s="67"/>
      <c r="E805" s="67"/>
    </row>
    <row r="806" ht="15.75" customHeight="1">
      <c r="D806" s="67"/>
      <c r="E806" s="67"/>
    </row>
    <row r="807" ht="15.75" customHeight="1">
      <c r="D807" s="67"/>
      <c r="E807" s="67"/>
    </row>
    <row r="808" ht="15.75" customHeight="1">
      <c r="D808" s="67"/>
      <c r="E808" s="67"/>
    </row>
    <row r="809" ht="15.75" customHeight="1">
      <c r="D809" s="67"/>
      <c r="E809" s="67"/>
    </row>
    <row r="810" ht="15.75" customHeight="1">
      <c r="D810" s="67"/>
      <c r="E810" s="67"/>
    </row>
    <row r="811" ht="15.75" customHeight="1">
      <c r="D811" s="67"/>
      <c r="E811" s="67"/>
    </row>
    <row r="812" ht="15.75" customHeight="1">
      <c r="D812" s="67"/>
      <c r="E812" s="67"/>
    </row>
    <row r="813" ht="15.75" customHeight="1">
      <c r="D813" s="67"/>
      <c r="E813" s="67"/>
    </row>
    <row r="814" ht="15.75" customHeight="1">
      <c r="D814" s="67"/>
      <c r="E814" s="67"/>
    </row>
    <row r="815" ht="15.75" customHeight="1">
      <c r="D815" s="67"/>
      <c r="E815" s="67"/>
    </row>
    <row r="816" ht="15.75" customHeight="1">
      <c r="D816" s="67"/>
      <c r="E816" s="67"/>
    </row>
    <row r="817" ht="15.75" customHeight="1">
      <c r="D817" s="67"/>
      <c r="E817" s="67"/>
    </row>
    <row r="818" ht="15.75" customHeight="1">
      <c r="D818" s="67"/>
      <c r="E818" s="67"/>
    </row>
    <row r="819" ht="15.75" customHeight="1">
      <c r="D819" s="67"/>
      <c r="E819" s="67"/>
    </row>
    <row r="820" ht="15.75" customHeight="1">
      <c r="D820" s="67"/>
      <c r="E820" s="67"/>
    </row>
    <row r="821" ht="15.75" customHeight="1">
      <c r="D821" s="67"/>
      <c r="E821" s="67"/>
    </row>
    <row r="822" ht="15.75" customHeight="1">
      <c r="D822" s="67"/>
      <c r="E822" s="67"/>
    </row>
    <row r="823" ht="15.75" customHeight="1">
      <c r="D823" s="67"/>
      <c r="E823" s="67"/>
    </row>
    <row r="824" ht="15.75" customHeight="1">
      <c r="D824" s="67"/>
      <c r="E824" s="67"/>
    </row>
    <row r="825" ht="15.75" customHeight="1">
      <c r="D825" s="67"/>
      <c r="E825" s="67"/>
    </row>
    <row r="826" ht="15.75" customHeight="1">
      <c r="D826" s="67"/>
      <c r="E826" s="67"/>
    </row>
    <row r="827" ht="15.75" customHeight="1">
      <c r="D827" s="67"/>
      <c r="E827" s="67"/>
    </row>
    <row r="828" ht="15.75" customHeight="1">
      <c r="D828" s="67"/>
      <c r="E828" s="67"/>
    </row>
    <row r="829" ht="15.75" customHeight="1">
      <c r="D829" s="67"/>
      <c r="E829" s="67"/>
    </row>
    <row r="830" ht="15.75" customHeight="1">
      <c r="D830" s="67"/>
      <c r="E830" s="67"/>
    </row>
    <row r="831" ht="15.75" customHeight="1">
      <c r="D831" s="67"/>
      <c r="E831" s="67"/>
    </row>
    <row r="832" ht="15.75" customHeight="1">
      <c r="D832" s="67"/>
      <c r="E832" s="67"/>
    </row>
    <row r="833" ht="15.75" customHeight="1">
      <c r="D833" s="67"/>
      <c r="E833" s="67"/>
    </row>
    <row r="834" ht="15.75" customHeight="1">
      <c r="D834" s="67"/>
      <c r="E834" s="67"/>
    </row>
    <row r="835" ht="15.75" customHeight="1">
      <c r="D835" s="67"/>
      <c r="E835" s="67"/>
    </row>
    <row r="836" ht="15.75" customHeight="1">
      <c r="D836" s="67"/>
      <c r="E836" s="67"/>
    </row>
    <row r="837" ht="15.75" customHeight="1">
      <c r="D837" s="67"/>
      <c r="E837" s="67"/>
    </row>
    <row r="838" ht="15.75" customHeight="1">
      <c r="D838" s="67"/>
      <c r="E838" s="67"/>
    </row>
    <row r="839" ht="15.75" customHeight="1">
      <c r="D839" s="67"/>
      <c r="E839" s="67"/>
    </row>
    <row r="840" ht="15.75" customHeight="1">
      <c r="D840" s="67"/>
      <c r="E840" s="67"/>
    </row>
    <row r="841" ht="15.75" customHeight="1">
      <c r="D841" s="67"/>
      <c r="E841" s="67"/>
    </row>
    <row r="842" ht="15.75" customHeight="1">
      <c r="D842" s="67"/>
      <c r="E842" s="67"/>
    </row>
    <row r="843" ht="15.75" customHeight="1">
      <c r="D843" s="67"/>
      <c r="E843" s="67"/>
    </row>
    <row r="844" ht="15.75" customHeight="1">
      <c r="D844" s="67"/>
      <c r="E844" s="67"/>
    </row>
    <row r="845" ht="15.75" customHeight="1">
      <c r="D845" s="67"/>
      <c r="E845" s="67"/>
    </row>
    <row r="846" ht="15.75" customHeight="1">
      <c r="D846" s="67"/>
      <c r="E846" s="67"/>
    </row>
    <row r="847" ht="15.75" customHeight="1">
      <c r="D847" s="67"/>
      <c r="E847" s="67"/>
    </row>
    <row r="848" ht="15.75" customHeight="1">
      <c r="D848" s="67"/>
      <c r="E848" s="67"/>
    </row>
    <row r="849" ht="15.75" customHeight="1">
      <c r="D849" s="67"/>
      <c r="E849" s="67"/>
    </row>
    <row r="850" ht="15.75" customHeight="1">
      <c r="D850" s="67"/>
      <c r="E850" s="67"/>
    </row>
    <row r="851" ht="15.75" customHeight="1">
      <c r="D851" s="67"/>
      <c r="E851" s="67"/>
    </row>
    <row r="852" ht="15.75" customHeight="1">
      <c r="D852" s="67"/>
      <c r="E852" s="67"/>
    </row>
    <row r="853" ht="15.75" customHeight="1">
      <c r="D853" s="67"/>
      <c r="E853" s="67"/>
    </row>
    <row r="854" ht="15.75" customHeight="1">
      <c r="D854" s="67"/>
      <c r="E854" s="67"/>
    </row>
    <row r="855" ht="15.75" customHeight="1">
      <c r="D855" s="67"/>
      <c r="E855" s="67"/>
    </row>
    <row r="856" ht="15.75" customHeight="1">
      <c r="D856" s="67"/>
      <c r="E856" s="67"/>
    </row>
    <row r="857" ht="15.75" customHeight="1">
      <c r="D857" s="67"/>
      <c r="E857" s="67"/>
    </row>
    <row r="858" ht="15.75" customHeight="1">
      <c r="D858" s="67"/>
      <c r="E858" s="67"/>
    </row>
    <row r="859" ht="15.75" customHeight="1">
      <c r="D859" s="67"/>
      <c r="E859" s="67"/>
    </row>
    <row r="860" ht="15.75" customHeight="1">
      <c r="D860" s="67"/>
      <c r="E860" s="67"/>
    </row>
    <row r="861" ht="15.75" customHeight="1">
      <c r="D861" s="67"/>
      <c r="E861" s="67"/>
    </row>
    <row r="862" ht="15.75" customHeight="1">
      <c r="D862" s="67"/>
      <c r="E862" s="67"/>
    </row>
    <row r="863" ht="15.75" customHeight="1">
      <c r="D863" s="67"/>
      <c r="E863" s="67"/>
    </row>
    <row r="864" ht="15.75" customHeight="1">
      <c r="D864" s="67"/>
      <c r="E864" s="67"/>
    </row>
    <row r="865" ht="15.75" customHeight="1">
      <c r="D865" s="67"/>
      <c r="E865" s="67"/>
    </row>
    <row r="866" ht="15.75" customHeight="1">
      <c r="D866" s="67"/>
      <c r="E866" s="67"/>
    </row>
    <row r="867" ht="15.75" customHeight="1">
      <c r="D867" s="67"/>
      <c r="E867" s="67"/>
    </row>
    <row r="868" ht="15.75" customHeight="1">
      <c r="D868" s="67"/>
      <c r="E868" s="67"/>
    </row>
    <row r="869" ht="15.75" customHeight="1">
      <c r="D869" s="67"/>
      <c r="E869" s="67"/>
    </row>
    <row r="870" ht="15.75" customHeight="1">
      <c r="D870" s="67"/>
      <c r="E870" s="67"/>
    </row>
    <row r="871" ht="15.75" customHeight="1">
      <c r="D871" s="67"/>
      <c r="E871" s="67"/>
    </row>
    <row r="872" ht="15.75" customHeight="1">
      <c r="D872" s="67"/>
      <c r="E872" s="67"/>
    </row>
    <row r="873" ht="15.75" customHeight="1">
      <c r="D873" s="67"/>
      <c r="E873" s="67"/>
    </row>
    <row r="874" ht="15.75" customHeight="1">
      <c r="D874" s="67"/>
      <c r="E874" s="67"/>
    </row>
    <row r="875" ht="15.75" customHeight="1">
      <c r="D875" s="67"/>
      <c r="E875" s="67"/>
    </row>
    <row r="876" ht="15.75" customHeight="1">
      <c r="D876" s="67"/>
      <c r="E876" s="67"/>
    </row>
    <row r="877" ht="15.75" customHeight="1">
      <c r="D877" s="67"/>
      <c r="E877" s="67"/>
    </row>
    <row r="878" ht="15.75" customHeight="1">
      <c r="D878" s="67"/>
      <c r="E878" s="67"/>
    </row>
    <row r="879" ht="15.75" customHeight="1">
      <c r="D879" s="67"/>
      <c r="E879" s="67"/>
    </row>
    <row r="880" ht="15.75" customHeight="1">
      <c r="D880" s="67"/>
      <c r="E880" s="67"/>
    </row>
    <row r="881" ht="15.75" customHeight="1">
      <c r="D881" s="67"/>
      <c r="E881" s="67"/>
    </row>
    <row r="882" ht="15.75" customHeight="1">
      <c r="D882" s="67"/>
      <c r="E882" s="67"/>
    </row>
    <row r="883" ht="15.75" customHeight="1">
      <c r="D883" s="67"/>
      <c r="E883" s="67"/>
    </row>
    <row r="884" ht="15.75" customHeight="1">
      <c r="D884" s="67"/>
      <c r="E884" s="67"/>
    </row>
    <row r="885" ht="15.75" customHeight="1">
      <c r="D885" s="67"/>
      <c r="E885" s="67"/>
    </row>
    <row r="886" ht="15.75" customHeight="1">
      <c r="D886" s="67"/>
      <c r="E886" s="67"/>
    </row>
    <row r="887" ht="15.75" customHeight="1">
      <c r="D887" s="67"/>
      <c r="E887" s="67"/>
    </row>
    <row r="888" ht="15.75" customHeight="1">
      <c r="D888" s="67"/>
      <c r="E888" s="67"/>
    </row>
    <row r="889" ht="15.75" customHeight="1">
      <c r="D889" s="67"/>
      <c r="E889" s="67"/>
    </row>
    <row r="890" ht="15.75" customHeight="1">
      <c r="D890" s="67"/>
      <c r="E890" s="67"/>
    </row>
    <row r="891" ht="15.75" customHeight="1">
      <c r="D891" s="67"/>
      <c r="E891" s="67"/>
    </row>
    <row r="892" ht="15.75" customHeight="1">
      <c r="D892" s="67"/>
      <c r="E892" s="67"/>
    </row>
    <row r="893" ht="15.75" customHeight="1">
      <c r="D893" s="67"/>
      <c r="E893" s="67"/>
    </row>
    <row r="894" ht="15.75" customHeight="1">
      <c r="D894" s="67"/>
      <c r="E894" s="67"/>
    </row>
    <row r="895" ht="15.75" customHeight="1">
      <c r="D895" s="67"/>
      <c r="E895" s="67"/>
    </row>
    <row r="896" ht="15.75" customHeight="1">
      <c r="D896" s="67"/>
      <c r="E896" s="67"/>
    </row>
    <row r="897" ht="15.75" customHeight="1">
      <c r="D897" s="67"/>
      <c r="E897" s="67"/>
    </row>
    <row r="898" ht="15.75" customHeight="1">
      <c r="D898" s="67"/>
      <c r="E898" s="67"/>
    </row>
    <row r="899" ht="15.75" customHeight="1">
      <c r="D899" s="67"/>
      <c r="E899" s="67"/>
    </row>
    <row r="900" ht="15.75" customHeight="1">
      <c r="D900" s="67"/>
      <c r="E900" s="67"/>
    </row>
    <row r="901" ht="15.75" customHeight="1">
      <c r="D901" s="67"/>
      <c r="E901" s="67"/>
    </row>
    <row r="902" ht="15.75" customHeight="1">
      <c r="D902" s="67"/>
      <c r="E902" s="67"/>
    </row>
    <row r="903" ht="15.75" customHeight="1">
      <c r="D903" s="67"/>
      <c r="E903" s="67"/>
    </row>
    <row r="904" ht="15.75" customHeight="1">
      <c r="D904" s="67"/>
      <c r="E904" s="67"/>
    </row>
    <row r="905" ht="15.75" customHeight="1">
      <c r="D905" s="67"/>
      <c r="E905" s="67"/>
    </row>
    <row r="906" ht="15.75" customHeight="1">
      <c r="D906" s="67"/>
      <c r="E906" s="67"/>
    </row>
    <row r="907" ht="15.75" customHeight="1">
      <c r="D907" s="67"/>
      <c r="E907" s="67"/>
    </row>
    <row r="908" ht="15.75" customHeight="1">
      <c r="D908" s="67"/>
      <c r="E908" s="67"/>
    </row>
    <row r="909" ht="15.75" customHeight="1">
      <c r="D909" s="67"/>
      <c r="E909" s="67"/>
    </row>
    <row r="910" ht="15.75" customHeight="1">
      <c r="D910" s="67"/>
      <c r="E910" s="67"/>
    </row>
    <row r="911" ht="15.75" customHeight="1">
      <c r="D911" s="67"/>
      <c r="E911" s="67"/>
    </row>
    <row r="912" ht="15.75" customHeight="1">
      <c r="D912" s="67"/>
      <c r="E912" s="67"/>
    </row>
    <row r="913" ht="15.75" customHeight="1">
      <c r="D913" s="67"/>
      <c r="E913" s="67"/>
    </row>
    <row r="914" ht="15.75" customHeight="1">
      <c r="D914" s="67"/>
      <c r="E914" s="67"/>
    </row>
    <row r="915" ht="15.75" customHeight="1">
      <c r="D915" s="67"/>
      <c r="E915" s="67"/>
    </row>
    <row r="916" ht="15.75" customHeight="1">
      <c r="D916" s="67"/>
      <c r="E916" s="67"/>
    </row>
    <row r="917" ht="15.75" customHeight="1">
      <c r="D917" s="67"/>
      <c r="E917" s="67"/>
    </row>
    <row r="918" ht="15.75" customHeight="1">
      <c r="D918" s="67"/>
      <c r="E918" s="67"/>
    </row>
    <row r="919" ht="15.75" customHeight="1">
      <c r="D919" s="67"/>
      <c r="E919" s="67"/>
    </row>
    <row r="920" ht="15.75" customHeight="1">
      <c r="D920" s="67"/>
      <c r="E920" s="67"/>
    </row>
    <row r="921" ht="15.75" customHeight="1">
      <c r="D921" s="67"/>
      <c r="E921" s="67"/>
    </row>
    <row r="922" ht="15.75" customHeight="1">
      <c r="D922" s="67"/>
      <c r="E922" s="67"/>
    </row>
    <row r="923" ht="15.75" customHeight="1">
      <c r="D923" s="67"/>
      <c r="E923" s="67"/>
    </row>
    <row r="924" ht="15.75" customHeight="1">
      <c r="D924" s="67"/>
      <c r="E924" s="67"/>
    </row>
    <row r="925" ht="15.75" customHeight="1">
      <c r="D925" s="67"/>
      <c r="E925" s="67"/>
    </row>
    <row r="926" ht="15.75" customHeight="1">
      <c r="D926" s="67"/>
      <c r="E926" s="67"/>
    </row>
    <row r="927" ht="15.75" customHeight="1">
      <c r="D927" s="67"/>
      <c r="E927" s="67"/>
    </row>
    <row r="928" ht="15.75" customHeight="1">
      <c r="D928" s="67"/>
      <c r="E928" s="67"/>
    </row>
    <row r="929" ht="15.75" customHeight="1">
      <c r="D929" s="67"/>
      <c r="E929" s="67"/>
    </row>
    <row r="930" ht="15.75" customHeight="1">
      <c r="D930" s="67"/>
      <c r="E930" s="67"/>
    </row>
    <row r="931" ht="15.75" customHeight="1">
      <c r="D931" s="67"/>
      <c r="E931" s="67"/>
    </row>
    <row r="932" ht="15.75" customHeight="1">
      <c r="D932" s="67"/>
      <c r="E932" s="67"/>
    </row>
    <row r="933" ht="15.75" customHeight="1">
      <c r="D933" s="67"/>
      <c r="E933" s="67"/>
    </row>
    <row r="934" ht="15.75" customHeight="1">
      <c r="D934" s="67"/>
      <c r="E934" s="67"/>
    </row>
    <row r="935" ht="15.75" customHeight="1">
      <c r="D935" s="67"/>
      <c r="E935" s="67"/>
    </row>
    <row r="936" ht="15.75" customHeight="1">
      <c r="D936" s="67"/>
      <c r="E936" s="67"/>
    </row>
    <row r="937" ht="15.75" customHeight="1">
      <c r="D937" s="67"/>
      <c r="E937" s="67"/>
    </row>
    <row r="938" ht="15.75" customHeight="1">
      <c r="D938" s="67"/>
      <c r="E938" s="67"/>
    </row>
    <row r="939" ht="15.75" customHeight="1">
      <c r="D939" s="67"/>
      <c r="E939" s="67"/>
    </row>
    <row r="940" ht="15.75" customHeight="1">
      <c r="D940" s="67"/>
      <c r="E940" s="67"/>
    </row>
    <row r="941" ht="15.75" customHeight="1">
      <c r="D941" s="67"/>
      <c r="E941" s="67"/>
    </row>
    <row r="942" ht="15.75" customHeight="1">
      <c r="D942" s="67"/>
      <c r="E942" s="67"/>
    </row>
    <row r="943" ht="15.75" customHeight="1">
      <c r="D943" s="67"/>
      <c r="E943" s="67"/>
    </row>
    <row r="944" ht="15.75" customHeight="1">
      <c r="D944" s="67"/>
      <c r="E944" s="67"/>
    </row>
    <row r="945" ht="15.75" customHeight="1">
      <c r="D945" s="67"/>
      <c r="E945" s="67"/>
    </row>
    <row r="946" ht="15.75" customHeight="1">
      <c r="D946" s="67"/>
      <c r="E946" s="67"/>
    </row>
    <row r="947" ht="15.75" customHeight="1">
      <c r="D947" s="67"/>
      <c r="E947" s="67"/>
    </row>
    <row r="948" ht="15.75" customHeight="1">
      <c r="D948" s="67"/>
      <c r="E948" s="67"/>
    </row>
    <row r="949" ht="15.75" customHeight="1">
      <c r="D949" s="67"/>
      <c r="E949" s="67"/>
    </row>
    <row r="950" ht="15.75" customHeight="1">
      <c r="D950" s="67"/>
      <c r="E950" s="67"/>
    </row>
    <row r="951" ht="15.75" customHeight="1">
      <c r="D951" s="67"/>
      <c r="E951" s="67"/>
    </row>
    <row r="952" ht="15.75" customHeight="1">
      <c r="D952" s="67"/>
      <c r="E952" s="67"/>
    </row>
    <row r="953" ht="15.75" customHeight="1">
      <c r="D953" s="67"/>
      <c r="E953" s="67"/>
    </row>
    <row r="954" ht="15.75" customHeight="1">
      <c r="D954" s="67"/>
      <c r="E954" s="67"/>
    </row>
    <row r="955" ht="15.75" customHeight="1">
      <c r="D955" s="67"/>
      <c r="E955" s="67"/>
    </row>
    <row r="956" ht="15.75" customHeight="1">
      <c r="D956" s="67"/>
      <c r="E956" s="67"/>
    </row>
    <row r="957" ht="15.75" customHeight="1">
      <c r="D957" s="67"/>
      <c r="E957" s="67"/>
    </row>
    <row r="958" ht="15.75" customHeight="1">
      <c r="D958" s="67"/>
      <c r="E958" s="67"/>
    </row>
    <row r="959" ht="15.75" customHeight="1">
      <c r="D959" s="67"/>
      <c r="E959" s="67"/>
    </row>
    <row r="960" ht="15.75" customHeight="1">
      <c r="D960" s="67"/>
      <c r="E960" s="67"/>
    </row>
    <row r="961" ht="15.75" customHeight="1">
      <c r="D961" s="67"/>
      <c r="E961" s="67"/>
    </row>
    <row r="962" ht="15.75" customHeight="1">
      <c r="D962" s="67"/>
      <c r="E962" s="67"/>
    </row>
    <row r="963" ht="15.75" customHeight="1">
      <c r="D963" s="67"/>
      <c r="E963" s="67"/>
    </row>
    <row r="964" ht="15.75" customHeight="1">
      <c r="D964" s="67"/>
      <c r="E964" s="67"/>
    </row>
    <row r="965" ht="15.75" customHeight="1">
      <c r="D965" s="67"/>
      <c r="E965" s="67"/>
    </row>
    <row r="966" ht="15.75" customHeight="1">
      <c r="D966" s="67"/>
      <c r="E966" s="67"/>
    </row>
    <row r="967" ht="15.75" customHeight="1">
      <c r="D967" s="67"/>
      <c r="E967" s="67"/>
    </row>
    <row r="968" ht="15.75" customHeight="1">
      <c r="D968" s="67"/>
      <c r="E968" s="67"/>
    </row>
    <row r="969" ht="15.75" customHeight="1">
      <c r="D969" s="67"/>
      <c r="E969" s="67"/>
    </row>
    <row r="970" ht="15.75" customHeight="1">
      <c r="D970" s="67"/>
      <c r="E970" s="67"/>
    </row>
    <row r="971" ht="15.75" customHeight="1">
      <c r="D971" s="67"/>
      <c r="E971" s="67"/>
    </row>
    <row r="972" ht="15.75" customHeight="1">
      <c r="D972" s="67"/>
      <c r="E972" s="67"/>
    </row>
    <row r="973" ht="15.75" customHeight="1">
      <c r="D973" s="67"/>
      <c r="E973" s="67"/>
    </row>
    <row r="974" ht="15.75" customHeight="1">
      <c r="D974" s="67"/>
      <c r="E974" s="67"/>
    </row>
    <row r="975" ht="15.75" customHeight="1">
      <c r="D975" s="67"/>
      <c r="E975" s="67"/>
    </row>
    <row r="976" ht="15.75" customHeight="1">
      <c r="D976" s="67"/>
      <c r="E976" s="67"/>
    </row>
    <row r="977" ht="15.75" customHeight="1">
      <c r="D977" s="67"/>
      <c r="E977" s="67"/>
    </row>
    <row r="978" ht="15.75" customHeight="1">
      <c r="D978" s="67"/>
      <c r="E978" s="67"/>
    </row>
    <row r="979" ht="15.75" customHeight="1">
      <c r="D979" s="67"/>
      <c r="E979" s="67"/>
    </row>
    <row r="980" ht="15.75" customHeight="1">
      <c r="D980" s="67"/>
      <c r="E980" s="67"/>
    </row>
    <row r="981" ht="15.75" customHeight="1">
      <c r="D981" s="67"/>
      <c r="E981" s="67"/>
    </row>
    <row r="982" ht="15.75" customHeight="1">
      <c r="D982" s="67"/>
      <c r="E982" s="67"/>
    </row>
    <row r="983" ht="15.75" customHeight="1">
      <c r="D983" s="67"/>
      <c r="E983" s="67"/>
    </row>
    <row r="984" ht="15.75" customHeight="1">
      <c r="D984" s="67"/>
      <c r="E984" s="67"/>
    </row>
    <row r="985" ht="15.75" customHeight="1">
      <c r="D985" s="67"/>
      <c r="E985" s="67"/>
    </row>
    <row r="986" ht="15.75" customHeight="1">
      <c r="D986" s="67"/>
      <c r="E986" s="67"/>
    </row>
    <row r="987" ht="15.75" customHeight="1">
      <c r="D987" s="67"/>
      <c r="E987" s="67"/>
    </row>
    <row r="988" ht="15.75" customHeight="1">
      <c r="D988" s="67"/>
      <c r="E988" s="67"/>
    </row>
    <row r="989" ht="15.75" customHeight="1">
      <c r="D989" s="67"/>
      <c r="E989" s="67"/>
    </row>
    <row r="990" ht="15.75" customHeight="1">
      <c r="D990" s="67"/>
      <c r="E990" s="67"/>
    </row>
    <row r="991" ht="15.75" customHeight="1">
      <c r="D991" s="67"/>
      <c r="E991" s="67"/>
    </row>
    <row r="992" ht="15.75" customHeight="1">
      <c r="D992" s="67"/>
      <c r="E992" s="67"/>
    </row>
    <row r="993" ht="15.75" customHeight="1">
      <c r="D993" s="67"/>
      <c r="E993" s="67"/>
    </row>
    <row r="994" ht="15.75" customHeight="1">
      <c r="D994" s="67"/>
      <c r="E994" s="67"/>
    </row>
    <row r="995" ht="15.75" customHeight="1">
      <c r="D995" s="67"/>
      <c r="E995" s="67"/>
    </row>
    <row r="996" ht="15.75" customHeight="1">
      <c r="D996" s="67"/>
      <c r="E996" s="67"/>
    </row>
    <row r="997" ht="15.75" customHeight="1">
      <c r="D997" s="67"/>
      <c r="E997" s="67"/>
    </row>
    <row r="998" ht="15.75" customHeight="1">
      <c r="D998" s="67"/>
      <c r="E998" s="67"/>
    </row>
    <row r="999" ht="15.75" customHeight="1">
      <c r="D999" s="67"/>
      <c r="E999" s="67"/>
    </row>
    <row r="1000" ht="15.75" customHeight="1">
      <c r="D1000" s="67"/>
      <c r="E1000" s="67"/>
    </row>
  </sheetData>
  <mergeCells count="5">
    <mergeCell ref="A1:H1"/>
    <mergeCell ref="A2:H2"/>
    <mergeCell ref="A3:H3"/>
    <mergeCell ref="F44:F45"/>
    <mergeCell ref="G45:H45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1.86"/>
    <col customWidth="1" min="4" max="4" width="8.86"/>
    <col customWidth="1" min="5" max="6" width="9.86"/>
    <col customWidth="1" min="7" max="26" width="10.71"/>
  </cols>
  <sheetData>
    <row r="1">
      <c r="A1" s="13" t="s">
        <v>25</v>
      </c>
      <c r="F1" s="13"/>
      <c r="G1" s="68"/>
    </row>
    <row r="2" ht="8.25" customHeight="1">
      <c r="A2" s="13"/>
      <c r="B2" s="13"/>
      <c r="C2" s="13"/>
      <c r="D2" s="13"/>
      <c r="E2" s="13"/>
      <c r="F2" s="13"/>
      <c r="G2" s="68"/>
    </row>
    <row r="3">
      <c r="A3" s="69" t="s">
        <v>81</v>
      </c>
      <c r="F3" s="69"/>
      <c r="G3" s="70"/>
    </row>
    <row r="4">
      <c r="A4" s="71" t="s">
        <v>82</v>
      </c>
      <c r="F4" s="72"/>
      <c r="G4" s="70"/>
    </row>
    <row r="5" ht="17.25" customHeight="1">
      <c r="A5" s="6"/>
      <c r="B5" s="73"/>
      <c r="C5" s="74"/>
      <c r="D5" s="74"/>
      <c r="E5" s="74"/>
      <c r="F5" s="74"/>
      <c r="G5" s="74"/>
    </row>
    <row r="6" ht="12.0" customHeight="1">
      <c r="A6" s="75" t="s">
        <v>83</v>
      </c>
      <c r="B6" s="76" t="s">
        <v>84</v>
      </c>
      <c r="C6" s="77" t="s">
        <v>85</v>
      </c>
      <c r="D6" s="78" t="s">
        <v>86</v>
      </c>
      <c r="E6" s="79"/>
      <c r="F6" s="80"/>
      <c r="G6" s="4"/>
      <c r="H6" s="4"/>
      <c r="I6" s="4"/>
    </row>
    <row r="7" ht="11.25" customHeight="1">
      <c r="A7" s="81"/>
      <c r="B7" s="82"/>
      <c r="C7" s="83"/>
      <c r="D7" s="84" t="s">
        <v>87</v>
      </c>
      <c r="E7" s="84" t="s">
        <v>88</v>
      </c>
      <c r="F7" s="80"/>
      <c r="H7" s="4"/>
    </row>
    <row r="8" ht="13.5" customHeight="1">
      <c r="A8" s="85" t="s">
        <v>89</v>
      </c>
      <c r="B8" s="86">
        <v>14.0</v>
      </c>
      <c r="C8" s="87" t="s">
        <v>90</v>
      </c>
      <c r="D8" s="88">
        <v>3000.0</v>
      </c>
      <c r="E8" s="89">
        <f>SUM(D8:D12)</f>
        <v>14852.81</v>
      </c>
      <c r="F8" s="90"/>
      <c r="H8" s="4"/>
    </row>
    <row r="9" ht="13.5" customHeight="1">
      <c r="A9" s="81"/>
      <c r="B9" s="91">
        <v>12.0</v>
      </c>
      <c r="C9" s="92" t="s">
        <v>91</v>
      </c>
      <c r="D9" s="93">
        <v>2400.0</v>
      </c>
      <c r="E9" s="94"/>
      <c r="F9" s="90"/>
      <c r="H9" s="4"/>
    </row>
    <row r="10" ht="13.5" customHeight="1">
      <c r="A10" s="81"/>
      <c r="B10" s="91">
        <v>13.0</v>
      </c>
      <c r="C10" s="92" t="s">
        <v>92</v>
      </c>
      <c r="D10" s="93">
        <v>800.0</v>
      </c>
      <c r="E10" s="94"/>
      <c r="F10" s="90"/>
      <c r="H10" s="4"/>
    </row>
    <row r="11" ht="13.5" customHeight="1">
      <c r="A11" s="81"/>
      <c r="B11" s="91">
        <v>88.0</v>
      </c>
      <c r="C11" s="95" t="s">
        <v>93</v>
      </c>
      <c r="D11" s="96">
        <v>7400.0</v>
      </c>
      <c r="E11" s="94"/>
      <c r="F11" s="90"/>
      <c r="H11" s="4"/>
    </row>
    <row r="12" ht="13.5" customHeight="1">
      <c r="A12" s="81"/>
      <c r="B12" s="97">
        <v>24.0</v>
      </c>
      <c r="C12" s="98" t="s">
        <v>94</v>
      </c>
      <c r="D12" s="99">
        <v>1252.81</v>
      </c>
      <c r="E12" s="100"/>
      <c r="F12" s="90"/>
    </row>
    <row r="13" ht="13.5" customHeight="1">
      <c r="A13" s="81"/>
      <c r="B13" s="86">
        <v>682875.0</v>
      </c>
      <c r="C13" s="101" t="s">
        <v>95</v>
      </c>
      <c r="D13" s="88">
        <v>5294.5</v>
      </c>
      <c r="E13" s="89">
        <f>SUM(D13:D14)</f>
        <v>6852.7</v>
      </c>
      <c r="F13" s="90"/>
    </row>
    <row r="14" ht="13.5" customHeight="1">
      <c r="A14" s="81"/>
      <c r="B14" s="97">
        <v>127813.0</v>
      </c>
      <c r="C14" s="102" t="s">
        <v>96</v>
      </c>
      <c r="D14" s="103">
        <v>1558.2</v>
      </c>
      <c r="E14" s="94"/>
      <c r="F14" s="90"/>
    </row>
    <row r="15" ht="21.75" customHeight="1">
      <c r="A15" s="104" t="s">
        <v>97</v>
      </c>
      <c r="B15" s="105">
        <v>69088.0</v>
      </c>
      <c r="C15" s="106" t="s">
        <v>98</v>
      </c>
      <c r="D15" s="107">
        <v>652.0</v>
      </c>
      <c r="E15" s="89">
        <f>SUM(D15:D25)</f>
        <v>7674</v>
      </c>
      <c r="F15" s="108"/>
    </row>
    <row r="16" ht="13.5" customHeight="1">
      <c r="A16" s="94"/>
      <c r="B16" s="109">
        <v>26.0</v>
      </c>
      <c r="C16" s="110" t="s">
        <v>99</v>
      </c>
      <c r="D16" s="96">
        <v>800.0</v>
      </c>
      <c r="E16" s="94"/>
      <c r="F16" s="108"/>
    </row>
    <row r="17" ht="24.0" customHeight="1">
      <c r="A17" s="94"/>
      <c r="B17" s="109" t="s">
        <v>100</v>
      </c>
      <c r="C17" s="111" t="s">
        <v>101</v>
      </c>
      <c r="D17" s="96">
        <v>242.0</v>
      </c>
      <c r="E17" s="94"/>
      <c r="F17" s="112"/>
    </row>
    <row r="18" ht="20.25" customHeight="1">
      <c r="A18" s="94"/>
      <c r="B18" s="109">
        <v>18.0</v>
      </c>
      <c r="C18" s="113" t="s">
        <v>102</v>
      </c>
      <c r="D18" s="114">
        <v>350.0</v>
      </c>
      <c r="E18" s="94"/>
      <c r="F18" s="112"/>
    </row>
    <row r="19" ht="13.5" customHeight="1">
      <c r="A19" s="94"/>
      <c r="B19" s="109" t="s">
        <v>103</v>
      </c>
      <c r="C19" s="113" t="s">
        <v>104</v>
      </c>
      <c r="D19" s="115">
        <v>160.0</v>
      </c>
      <c r="E19" s="94"/>
      <c r="F19" s="90"/>
    </row>
    <row r="20" ht="21.0" customHeight="1">
      <c r="A20" s="94"/>
      <c r="B20" s="109">
        <v>25.0</v>
      </c>
      <c r="C20" s="110" t="s">
        <v>105</v>
      </c>
      <c r="D20" s="115">
        <v>100.0</v>
      </c>
      <c r="E20" s="94"/>
      <c r="F20" s="90"/>
    </row>
    <row r="21" ht="21.75" customHeight="1">
      <c r="A21" s="94"/>
      <c r="B21" s="109">
        <v>961318.0</v>
      </c>
      <c r="C21" s="110" t="s">
        <v>106</v>
      </c>
      <c r="D21" s="115">
        <v>2600.0</v>
      </c>
      <c r="E21" s="94"/>
      <c r="F21" s="90"/>
    </row>
    <row r="22" ht="17.25" customHeight="1">
      <c r="A22" s="94"/>
      <c r="B22" s="109">
        <v>28.0</v>
      </c>
      <c r="C22" s="111" t="s">
        <v>107</v>
      </c>
      <c r="D22" s="115">
        <v>150.0</v>
      </c>
      <c r="E22" s="94"/>
      <c r="F22" s="90"/>
    </row>
    <row r="23" ht="14.25" customHeight="1">
      <c r="A23" s="94"/>
      <c r="B23" s="109">
        <v>29.0</v>
      </c>
      <c r="C23" s="111" t="s">
        <v>108</v>
      </c>
      <c r="D23" s="115">
        <v>400.0</v>
      </c>
      <c r="E23" s="94"/>
      <c r="F23" s="90"/>
    </row>
    <row r="24" ht="15.75" customHeight="1">
      <c r="A24" s="94"/>
      <c r="B24" s="109">
        <v>30.0</v>
      </c>
      <c r="C24" s="116" t="s">
        <v>109</v>
      </c>
      <c r="D24" s="117">
        <v>300.0</v>
      </c>
      <c r="E24" s="94"/>
      <c r="F24" s="90"/>
    </row>
    <row r="25" ht="16.5" customHeight="1">
      <c r="A25" s="100"/>
      <c r="B25" s="118">
        <v>2890.0</v>
      </c>
      <c r="C25" s="111" t="s">
        <v>110</v>
      </c>
      <c r="D25" s="115">
        <v>1920.0</v>
      </c>
      <c r="E25" s="94"/>
      <c r="F25" s="90"/>
    </row>
    <row r="26" ht="13.5" customHeight="1">
      <c r="A26" s="119" t="s">
        <v>111</v>
      </c>
      <c r="B26" s="120"/>
      <c r="C26" s="121" t="s">
        <v>20</v>
      </c>
      <c r="D26" s="122">
        <v>2200.0</v>
      </c>
      <c r="E26" s="123"/>
      <c r="F26" s="90"/>
    </row>
    <row r="27" ht="13.5" customHeight="1">
      <c r="A27" s="94"/>
      <c r="B27" s="124">
        <v>30483.0</v>
      </c>
      <c r="C27" s="106" t="s">
        <v>112</v>
      </c>
      <c r="D27" s="93">
        <v>321.8</v>
      </c>
      <c r="E27" s="89">
        <f>SUM(D27:D37)</f>
        <v>2181.6</v>
      </c>
      <c r="F27" s="90"/>
    </row>
    <row r="28" ht="18.75" customHeight="1">
      <c r="A28" s="94"/>
      <c r="B28" s="91">
        <v>20.0</v>
      </c>
      <c r="C28" s="125" t="s">
        <v>113</v>
      </c>
      <c r="D28" s="126">
        <v>30.0</v>
      </c>
      <c r="E28" s="94"/>
      <c r="F28" s="90"/>
    </row>
    <row r="29" ht="15.75" customHeight="1">
      <c r="A29" s="94"/>
      <c r="B29" s="118">
        <v>15.0</v>
      </c>
      <c r="C29" s="111" t="s">
        <v>114</v>
      </c>
      <c r="D29" s="96">
        <v>359.0</v>
      </c>
      <c r="E29" s="94"/>
      <c r="F29" s="90"/>
    </row>
    <row r="30" ht="13.5" customHeight="1">
      <c r="A30" s="94"/>
      <c r="B30" s="109" t="s">
        <v>115</v>
      </c>
      <c r="C30" s="127" t="s">
        <v>116</v>
      </c>
      <c r="D30" s="114">
        <v>60.0</v>
      </c>
      <c r="E30" s="94"/>
      <c r="F30" s="90"/>
    </row>
    <row r="31" ht="16.5" customHeight="1">
      <c r="A31" s="94"/>
      <c r="B31" s="118">
        <v>22.0</v>
      </c>
      <c r="C31" s="127" t="s">
        <v>117</v>
      </c>
      <c r="D31" s="114">
        <v>20.0</v>
      </c>
      <c r="E31" s="94"/>
      <c r="F31" s="90"/>
    </row>
    <row r="32" ht="21.75" customHeight="1">
      <c r="A32" s="94"/>
      <c r="B32" s="118">
        <v>23.0</v>
      </c>
      <c r="C32" s="110" t="s">
        <v>118</v>
      </c>
      <c r="D32" s="114">
        <v>155.0</v>
      </c>
      <c r="E32" s="94"/>
      <c r="F32" s="90"/>
    </row>
    <row r="33" ht="16.5" customHeight="1">
      <c r="A33" s="94"/>
      <c r="B33" s="109">
        <v>24.0</v>
      </c>
      <c r="C33" s="111" t="s">
        <v>119</v>
      </c>
      <c r="D33" s="114">
        <v>37.0</v>
      </c>
      <c r="E33" s="94"/>
      <c r="F33" s="90"/>
      <c r="I33" s="7" t="s">
        <v>8</v>
      </c>
    </row>
    <row r="34" ht="21.0" customHeight="1">
      <c r="A34" s="94"/>
      <c r="B34" s="118" t="s">
        <v>120</v>
      </c>
      <c r="C34" s="113" t="s">
        <v>121</v>
      </c>
      <c r="D34" s="114">
        <v>342.0</v>
      </c>
      <c r="E34" s="94"/>
      <c r="F34" s="90"/>
    </row>
    <row r="35" ht="16.5" customHeight="1">
      <c r="A35" s="94"/>
      <c r="B35" s="118" t="s">
        <v>122</v>
      </c>
      <c r="C35" s="128" t="s">
        <v>123</v>
      </c>
      <c r="D35" s="115">
        <v>586.8</v>
      </c>
      <c r="E35" s="94"/>
      <c r="F35" s="90"/>
    </row>
    <row r="36" ht="18.0" customHeight="1">
      <c r="A36" s="94"/>
      <c r="B36" s="97" t="s">
        <v>124</v>
      </c>
      <c r="C36" s="110" t="s">
        <v>125</v>
      </c>
      <c r="D36" s="96">
        <v>64.0</v>
      </c>
      <c r="E36" s="94"/>
      <c r="F36" s="90"/>
    </row>
    <row r="37" ht="17.25" customHeight="1">
      <c r="A37" s="100"/>
      <c r="B37" s="129">
        <v>43183.0</v>
      </c>
      <c r="C37" s="130" t="s">
        <v>126</v>
      </c>
      <c r="D37" s="103">
        <v>206.0</v>
      </c>
      <c r="E37" s="94"/>
      <c r="F37" s="90"/>
    </row>
    <row r="38" ht="13.5" customHeight="1">
      <c r="A38" s="131"/>
      <c r="B38" s="132"/>
      <c r="C38" s="133" t="s">
        <v>127</v>
      </c>
      <c r="D38" s="134">
        <f>SUM(D27:D37)</f>
        <v>2181.6</v>
      </c>
      <c r="E38" s="94"/>
      <c r="F38" s="108"/>
    </row>
    <row r="39" ht="13.5" customHeight="1">
      <c r="A39" s="131"/>
      <c r="B39" s="132"/>
      <c r="C39" s="135" t="s">
        <v>128</v>
      </c>
      <c r="D39" s="136">
        <f>SUM(D26)-D38</f>
        <v>18.4</v>
      </c>
      <c r="E39" s="100"/>
      <c r="F39" s="108"/>
    </row>
    <row r="40" ht="13.5" customHeight="1">
      <c r="A40" s="137"/>
      <c r="B40" s="138"/>
      <c r="C40" s="139" t="s">
        <v>129</v>
      </c>
      <c r="D40" s="140"/>
      <c r="E40" s="141">
        <f>SUM(E8:E39)</f>
        <v>31561.11</v>
      </c>
      <c r="F40" s="108"/>
    </row>
    <row r="41" ht="15.75" customHeight="1">
      <c r="A41" s="6"/>
      <c r="B41" s="73"/>
      <c r="D41" s="142"/>
      <c r="E41" s="142"/>
      <c r="F41" s="142"/>
    </row>
    <row r="42" ht="15.75" customHeight="1">
      <c r="A42" s="6"/>
      <c r="B42" s="73"/>
      <c r="D42" s="142"/>
      <c r="E42" s="142"/>
    </row>
    <row r="43" ht="15.75" customHeight="1">
      <c r="A43" s="6"/>
      <c r="B43" s="73"/>
      <c r="D43" s="142"/>
      <c r="E43" s="142"/>
    </row>
    <row r="44" ht="15.75" customHeight="1">
      <c r="A44" s="6"/>
      <c r="B44" s="73"/>
      <c r="D44" s="142"/>
      <c r="E44" s="142"/>
    </row>
    <row r="45" ht="15.75" customHeight="1">
      <c r="A45" s="6"/>
      <c r="B45" s="73"/>
    </row>
    <row r="46" ht="15.75" customHeight="1">
      <c r="A46" s="6"/>
      <c r="B46" s="73"/>
    </row>
    <row r="47" ht="15.75" customHeight="1">
      <c r="A47" s="6"/>
      <c r="B47" s="73"/>
    </row>
    <row r="48" ht="15.75" customHeight="1">
      <c r="A48" s="6"/>
      <c r="B48" s="73"/>
    </row>
    <row r="49" ht="15.75" customHeight="1">
      <c r="A49" s="6"/>
      <c r="B49" s="73"/>
    </row>
    <row r="50" ht="15.75" customHeight="1">
      <c r="A50" s="6"/>
      <c r="B50" s="73"/>
    </row>
    <row r="51" ht="15.75" customHeight="1">
      <c r="A51" s="6"/>
      <c r="B51" s="73"/>
    </row>
    <row r="52" ht="15.75" customHeight="1">
      <c r="A52" s="6"/>
      <c r="B52" s="73"/>
    </row>
    <row r="53" ht="15.75" customHeight="1">
      <c r="A53" s="6"/>
      <c r="B53" s="73"/>
    </row>
    <row r="54" ht="15.75" customHeight="1">
      <c r="A54" s="6"/>
      <c r="B54" s="73"/>
    </row>
    <row r="55" ht="15.75" customHeight="1">
      <c r="A55" s="6"/>
      <c r="B55" s="73"/>
    </row>
    <row r="56" ht="15.75" customHeight="1">
      <c r="A56" s="6"/>
      <c r="B56" s="73"/>
    </row>
    <row r="57" ht="15.75" customHeight="1">
      <c r="A57" s="6"/>
      <c r="B57" s="73"/>
    </row>
    <row r="58" ht="15.75" customHeight="1">
      <c r="A58" s="6"/>
      <c r="B58" s="73"/>
    </row>
    <row r="59" ht="15.75" customHeight="1">
      <c r="A59" s="6"/>
      <c r="B59" s="73"/>
    </row>
    <row r="60" ht="15.75" customHeight="1">
      <c r="A60" s="6"/>
      <c r="B60" s="73"/>
    </row>
    <row r="61" ht="15.75" customHeight="1">
      <c r="A61" s="6"/>
      <c r="B61" s="73"/>
    </row>
    <row r="62" ht="15.75" customHeight="1">
      <c r="A62" s="6"/>
      <c r="B62" s="73"/>
    </row>
    <row r="63" ht="15.75" customHeight="1">
      <c r="A63" s="6"/>
      <c r="B63" s="73"/>
    </row>
    <row r="64" ht="15.75" customHeight="1">
      <c r="A64" s="6"/>
      <c r="B64" s="73"/>
    </row>
    <row r="65" ht="15.75" customHeight="1">
      <c r="A65" s="6"/>
      <c r="B65" s="73"/>
    </row>
    <row r="66" ht="15.75" customHeight="1">
      <c r="A66" s="6"/>
      <c r="B66" s="73"/>
    </row>
    <row r="67" ht="15.75" customHeight="1">
      <c r="A67" s="6"/>
      <c r="B67" s="73"/>
    </row>
    <row r="68" ht="15.75" customHeight="1">
      <c r="A68" s="6"/>
      <c r="B68" s="73"/>
    </row>
    <row r="69" ht="15.75" customHeight="1">
      <c r="A69" s="6"/>
      <c r="B69" s="73"/>
    </row>
    <row r="70" ht="15.75" customHeight="1">
      <c r="A70" s="6"/>
      <c r="B70" s="73"/>
    </row>
    <row r="71" ht="15.75" customHeight="1">
      <c r="A71" s="6"/>
      <c r="B71" s="73"/>
    </row>
    <row r="72" ht="15.75" customHeight="1">
      <c r="A72" s="6"/>
      <c r="B72" s="73"/>
    </row>
    <row r="73" ht="15.75" customHeight="1">
      <c r="A73" s="6"/>
      <c r="B73" s="73"/>
    </row>
    <row r="74" ht="15.75" customHeight="1">
      <c r="A74" s="6"/>
      <c r="B74" s="73"/>
    </row>
    <row r="75" ht="15.75" customHeight="1">
      <c r="A75" s="6"/>
      <c r="B75" s="73"/>
    </row>
    <row r="76" ht="15.75" customHeight="1">
      <c r="A76" s="6"/>
      <c r="B76" s="73"/>
    </row>
    <row r="77" ht="15.75" customHeight="1">
      <c r="A77" s="6"/>
      <c r="B77" s="73"/>
    </row>
    <row r="78" ht="15.75" customHeight="1">
      <c r="A78" s="6"/>
      <c r="B78" s="73"/>
    </row>
    <row r="79" ht="15.75" customHeight="1">
      <c r="A79" s="6"/>
      <c r="B79" s="73"/>
    </row>
    <row r="80" ht="15.75" customHeight="1">
      <c r="A80" s="6"/>
      <c r="B80" s="73"/>
    </row>
    <row r="81" ht="15.75" customHeight="1">
      <c r="A81" s="6"/>
      <c r="B81" s="73"/>
    </row>
    <row r="82" ht="15.75" customHeight="1">
      <c r="A82" s="6"/>
      <c r="B82" s="73"/>
    </row>
    <row r="83" ht="15.75" customHeight="1">
      <c r="A83" s="6"/>
      <c r="B83" s="73"/>
    </row>
    <row r="84" ht="15.75" customHeight="1">
      <c r="A84" s="6"/>
      <c r="B84" s="73"/>
    </row>
    <row r="85" ht="15.75" customHeight="1">
      <c r="A85" s="6"/>
      <c r="B85" s="73"/>
    </row>
    <row r="86" ht="15.75" customHeight="1">
      <c r="A86" s="6"/>
      <c r="B86" s="73"/>
    </row>
    <row r="87" ht="15.75" customHeight="1">
      <c r="A87" s="6"/>
      <c r="B87" s="73"/>
    </row>
    <row r="88" ht="15.75" customHeight="1">
      <c r="A88" s="6"/>
      <c r="B88" s="73"/>
    </row>
    <row r="89" ht="15.75" customHeight="1">
      <c r="A89" s="6"/>
      <c r="B89" s="73"/>
    </row>
    <row r="90" ht="15.75" customHeight="1">
      <c r="A90" s="6"/>
      <c r="B90" s="73"/>
    </row>
    <row r="91" ht="15.75" customHeight="1">
      <c r="A91" s="6"/>
      <c r="B91" s="73"/>
    </row>
    <row r="92" ht="15.75" customHeight="1">
      <c r="A92" s="6"/>
      <c r="B92" s="73"/>
    </row>
    <row r="93" ht="15.75" customHeight="1">
      <c r="A93" s="6"/>
      <c r="B93" s="73"/>
    </row>
    <row r="94" ht="15.75" customHeight="1">
      <c r="A94" s="6"/>
      <c r="B94" s="73"/>
    </row>
    <row r="95" ht="15.75" customHeight="1">
      <c r="A95" s="6"/>
      <c r="B95" s="73"/>
    </row>
    <row r="96" ht="15.75" customHeight="1">
      <c r="A96" s="6"/>
      <c r="B96" s="73"/>
    </row>
    <row r="97" ht="15.75" customHeight="1">
      <c r="A97" s="6"/>
      <c r="B97" s="73"/>
    </row>
    <row r="98" ht="15.75" customHeight="1">
      <c r="A98" s="6"/>
      <c r="B98" s="73"/>
    </row>
    <row r="99" ht="15.75" customHeight="1">
      <c r="A99" s="6"/>
      <c r="B99" s="73"/>
    </row>
    <row r="100" ht="15.75" customHeight="1">
      <c r="A100" s="6"/>
      <c r="B100" s="73"/>
    </row>
    <row r="101" ht="15.75" customHeight="1">
      <c r="A101" s="6"/>
      <c r="B101" s="73"/>
    </row>
    <row r="102" ht="15.75" customHeight="1">
      <c r="A102" s="6"/>
      <c r="B102" s="73"/>
    </row>
    <row r="103" ht="15.75" customHeight="1">
      <c r="A103" s="6"/>
      <c r="B103" s="73"/>
    </row>
    <row r="104" ht="15.75" customHeight="1">
      <c r="A104" s="6"/>
      <c r="B104" s="73"/>
    </row>
    <row r="105" ht="15.75" customHeight="1">
      <c r="A105" s="6"/>
      <c r="B105" s="73"/>
    </row>
    <row r="106" ht="15.75" customHeight="1">
      <c r="A106" s="6"/>
      <c r="B106" s="73"/>
    </row>
    <row r="107" ht="15.75" customHeight="1">
      <c r="A107" s="6"/>
      <c r="B107" s="73"/>
    </row>
    <row r="108" ht="15.75" customHeight="1">
      <c r="A108" s="6"/>
      <c r="B108" s="73"/>
    </row>
    <row r="109" ht="15.75" customHeight="1">
      <c r="A109" s="6"/>
      <c r="B109" s="73"/>
    </row>
    <row r="110" ht="15.75" customHeight="1">
      <c r="A110" s="6"/>
      <c r="B110" s="73"/>
    </row>
    <row r="111" ht="15.75" customHeight="1">
      <c r="A111" s="6"/>
      <c r="B111" s="73"/>
    </row>
    <row r="112" ht="15.75" customHeight="1">
      <c r="A112" s="6"/>
      <c r="B112" s="73"/>
    </row>
    <row r="113" ht="15.75" customHeight="1">
      <c r="A113" s="6"/>
      <c r="B113" s="73"/>
    </row>
    <row r="114" ht="15.75" customHeight="1">
      <c r="A114" s="6"/>
      <c r="B114" s="73"/>
    </row>
    <row r="115" ht="15.75" customHeight="1">
      <c r="A115" s="6"/>
      <c r="B115" s="73"/>
    </row>
    <row r="116" ht="15.75" customHeight="1">
      <c r="A116" s="6"/>
      <c r="B116" s="73"/>
    </row>
    <row r="117" ht="15.75" customHeight="1">
      <c r="A117" s="6"/>
      <c r="B117" s="73"/>
    </row>
    <row r="118" ht="15.75" customHeight="1">
      <c r="A118" s="6"/>
      <c r="B118" s="73"/>
    </row>
    <row r="119" ht="15.75" customHeight="1">
      <c r="A119" s="6"/>
      <c r="B119" s="73"/>
    </row>
    <row r="120" ht="15.75" customHeight="1">
      <c r="A120" s="6"/>
      <c r="B120" s="73"/>
    </row>
    <row r="121" ht="15.75" customHeight="1">
      <c r="A121" s="6"/>
      <c r="B121" s="73"/>
    </row>
    <row r="122" ht="15.75" customHeight="1">
      <c r="A122" s="6"/>
      <c r="B122" s="73"/>
    </row>
    <row r="123" ht="15.75" customHeight="1">
      <c r="A123" s="6"/>
      <c r="B123" s="73"/>
    </row>
    <row r="124" ht="15.75" customHeight="1">
      <c r="A124" s="6"/>
      <c r="B124" s="73"/>
    </row>
    <row r="125" ht="15.75" customHeight="1">
      <c r="A125" s="6"/>
      <c r="B125" s="73"/>
    </row>
    <row r="126" ht="15.75" customHeight="1">
      <c r="A126" s="6"/>
      <c r="B126" s="73"/>
    </row>
    <row r="127" ht="15.75" customHeight="1">
      <c r="A127" s="6"/>
      <c r="B127" s="73"/>
    </row>
    <row r="128" ht="15.75" customHeight="1">
      <c r="A128" s="6"/>
      <c r="B128" s="73"/>
    </row>
    <row r="129" ht="15.75" customHeight="1">
      <c r="A129" s="6"/>
      <c r="B129" s="73"/>
    </row>
    <row r="130" ht="15.75" customHeight="1">
      <c r="A130" s="6"/>
      <c r="B130" s="73"/>
    </row>
    <row r="131" ht="15.75" customHeight="1">
      <c r="A131" s="6"/>
      <c r="B131" s="73"/>
    </row>
    <row r="132" ht="15.75" customHeight="1">
      <c r="A132" s="6"/>
      <c r="B132" s="73"/>
    </row>
    <row r="133" ht="15.75" customHeight="1">
      <c r="A133" s="6"/>
      <c r="B133" s="73"/>
    </row>
    <row r="134" ht="15.75" customHeight="1">
      <c r="A134" s="6"/>
      <c r="B134" s="73"/>
    </row>
    <row r="135" ht="15.75" customHeight="1">
      <c r="A135" s="6"/>
      <c r="B135" s="73"/>
    </row>
    <row r="136" ht="15.75" customHeight="1">
      <c r="A136" s="6"/>
      <c r="B136" s="73"/>
    </row>
    <row r="137" ht="15.75" customHeight="1">
      <c r="A137" s="6"/>
      <c r="B137" s="73"/>
    </row>
    <row r="138" ht="15.75" customHeight="1">
      <c r="A138" s="6"/>
      <c r="B138" s="73"/>
    </row>
    <row r="139" ht="15.75" customHeight="1">
      <c r="A139" s="6"/>
      <c r="B139" s="73"/>
    </row>
    <row r="140" ht="15.75" customHeight="1">
      <c r="A140" s="6"/>
      <c r="B140" s="73"/>
    </row>
    <row r="141" ht="15.75" customHeight="1">
      <c r="A141" s="6"/>
      <c r="B141" s="73"/>
    </row>
    <row r="142" ht="15.75" customHeight="1">
      <c r="A142" s="6"/>
      <c r="B142" s="73"/>
    </row>
    <row r="143" ht="15.75" customHeight="1">
      <c r="A143" s="6"/>
      <c r="B143" s="73"/>
    </row>
    <row r="144" ht="15.75" customHeight="1">
      <c r="A144" s="6"/>
      <c r="B144" s="73"/>
    </row>
    <row r="145" ht="15.75" customHeight="1">
      <c r="A145" s="6"/>
      <c r="B145" s="73"/>
    </row>
    <row r="146" ht="15.75" customHeight="1">
      <c r="A146" s="6"/>
      <c r="B146" s="73"/>
    </row>
    <row r="147" ht="15.75" customHeight="1">
      <c r="A147" s="6"/>
      <c r="B147" s="73"/>
    </row>
    <row r="148" ht="15.75" customHeight="1">
      <c r="A148" s="6"/>
      <c r="B148" s="73"/>
    </row>
    <row r="149" ht="15.75" customHeight="1">
      <c r="A149" s="6"/>
      <c r="B149" s="73"/>
    </row>
    <row r="150" ht="15.75" customHeight="1">
      <c r="A150" s="6"/>
      <c r="B150" s="73"/>
    </row>
    <row r="151" ht="15.75" customHeight="1">
      <c r="A151" s="6"/>
      <c r="B151" s="73"/>
    </row>
    <row r="152" ht="15.75" customHeight="1">
      <c r="A152" s="6"/>
      <c r="B152" s="73"/>
    </row>
    <row r="153" ht="15.75" customHeight="1">
      <c r="A153" s="6"/>
      <c r="B153" s="73"/>
    </row>
    <row r="154" ht="15.75" customHeight="1">
      <c r="A154" s="6"/>
      <c r="B154" s="73"/>
    </row>
    <row r="155" ht="15.75" customHeight="1">
      <c r="A155" s="6"/>
      <c r="B155" s="73"/>
    </row>
    <row r="156" ht="15.75" customHeight="1">
      <c r="A156" s="6"/>
      <c r="B156" s="73"/>
    </row>
    <row r="157" ht="15.75" customHeight="1">
      <c r="A157" s="6"/>
      <c r="B157" s="73"/>
    </row>
    <row r="158" ht="15.75" customHeight="1">
      <c r="A158" s="6"/>
      <c r="B158" s="73"/>
    </row>
    <row r="159" ht="15.75" customHeight="1">
      <c r="A159" s="6"/>
      <c r="B159" s="73"/>
    </row>
    <row r="160" ht="15.75" customHeight="1">
      <c r="A160" s="6"/>
      <c r="B160" s="73"/>
    </row>
    <row r="161" ht="15.75" customHeight="1">
      <c r="A161" s="6"/>
      <c r="B161" s="73"/>
    </row>
    <row r="162" ht="15.75" customHeight="1">
      <c r="A162" s="6"/>
      <c r="B162" s="73"/>
    </row>
    <row r="163" ht="15.75" customHeight="1">
      <c r="A163" s="6"/>
      <c r="B163" s="73"/>
    </row>
    <row r="164" ht="15.75" customHeight="1">
      <c r="A164" s="6"/>
      <c r="B164" s="73"/>
    </row>
    <row r="165" ht="15.75" customHeight="1">
      <c r="A165" s="6"/>
      <c r="B165" s="73"/>
    </row>
    <row r="166" ht="15.75" customHeight="1">
      <c r="A166" s="6"/>
      <c r="B166" s="73"/>
    </row>
    <row r="167" ht="15.75" customHeight="1">
      <c r="A167" s="6"/>
      <c r="B167" s="73"/>
    </row>
    <row r="168" ht="15.75" customHeight="1">
      <c r="A168" s="6"/>
      <c r="B168" s="73"/>
    </row>
    <row r="169" ht="15.75" customHeight="1">
      <c r="A169" s="6"/>
      <c r="B169" s="73"/>
    </row>
    <row r="170" ht="15.75" customHeight="1">
      <c r="A170" s="6"/>
      <c r="B170" s="73"/>
    </row>
    <row r="171" ht="15.75" customHeight="1">
      <c r="A171" s="6"/>
      <c r="B171" s="73"/>
    </row>
    <row r="172" ht="15.75" customHeight="1">
      <c r="A172" s="6"/>
      <c r="B172" s="73"/>
    </row>
    <row r="173" ht="15.75" customHeight="1">
      <c r="A173" s="6"/>
      <c r="B173" s="73"/>
    </row>
    <row r="174" ht="15.75" customHeight="1">
      <c r="A174" s="6"/>
      <c r="B174" s="73"/>
    </row>
    <row r="175" ht="15.75" customHeight="1">
      <c r="A175" s="6"/>
      <c r="B175" s="73"/>
    </row>
    <row r="176" ht="15.75" customHeight="1">
      <c r="A176" s="6"/>
      <c r="B176" s="73"/>
    </row>
    <row r="177" ht="15.75" customHeight="1">
      <c r="A177" s="6"/>
      <c r="B177" s="73"/>
    </row>
    <row r="178" ht="15.75" customHeight="1">
      <c r="A178" s="6"/>
      <c r="B178" s="73"/>
    </row>
    <row r="179" ht="15.75" customHeight="1">
      <c r="A179" s="6"/>
      <c r="B179" s="73"/>
    </row>
    <row r="180" ht="15.75" customHeight="1">
      <c r="A180" s="6"/>
      <c r="B180" s="73"/>
    </row>
    <row r="181" ht="15.75" customHeight="1">
      <c r="A181" s="6"/>
      <c r="B181" s="73"/>
    </row>
    <row r="182" ht="15.75" customHeight="1">
      <c r="A182" s="6"/>
      <c r="B182" s="73"/>
    </row>
    <row r="183" ht="15.75" customHeight="1">
      <c r="A183" s="6"/>
      <c r="B183" s="73"/>
    </row>
    <row r="184" ht="15.75" customHeight="1">
      <c r="A184" s="6"/>
      <c r="B184" s="73"/>
    </row>
    <row r="185" ht="15.75" customHeight="1">
      <c r="A185" s="6"/>
      <c r="B185" s="73"/>
    </row>
    <row r="186" ht="15.75" customHeight="1">
      <c r="A186" s="6"/>
      <c r="B186" s="73"/>
    </row>
    <row r="187" ht="15.75" customHeight="1">
      <c r="A187" s="6"/>
      <c r="B187" s="73"/>
    </row>
    <row r="188" ht="15.75" customHeight="1">
      <c r="A188" s="6"/>
      <c r="B188" s="73"/>
    </row>
    <row r="189" ht="15.75" customHeight="1">
      <c r="A189" s="6"/>
      <c r="B189" s="73"/>
    </row>
    <row r="190" ht="15.75" customHeight="1">
      <c r="A190" s="6"/>
      <c r="B190" s="73"/>
    </row>
    <row r="191" ht="15.75" customHeight="1">
      <c r="A191" s="6"/>
      <c r="B191" s="73"/>
    </row>
    <row r="192" ht="15.75" customHeight="1">
      <c r="A192" s="6"/>
      <c r="B192" s="73"/>
    </row>
    <row r="193" ht="15.75" customHeight="1">
      <c r="A193" s="6"/>
      <c r="B193" s="73"/>
    </row>
    <row r="194" ht="15.75" customHeight="1">
      <c r="A194" s="6"/>
      <c r="B194" s="73"/>
    </row>
    <row r="195" ht="15.75" customHeight="1">
      <c r="A195" s="6"/>
      <c r="B195" s="73"/>
    </row>
    <row r="196" ht="15.75" customHeight="1">
      <c r="A196" s="6"/>
      <c r="B196" s="73"/>
    </row>
    <row r="197" ht="15.75" customHeight="1">
      <c r="A197" s="6"/>
      <c r="B197" s="73"/>
    </row>
    <row r="198" ht="15.75" customHeight="1">
      <c r="A198" s="6"/>
      <c r="B198" s="73"/>
    </row>
    <row r="199" ht="15.75" customHeight="1">
      <c r="A199" s="6"/>
      <c r="B199" s="73"/>
    </row>
    <row r="200" ht="15.75" customHeight="1">
      <c r="A200" s="6"/>
      <c r="B200" s="73"/>
    </row>
    <row r="201" ht="15.75" customHeight="1">
      <c r="A201" s="6"/>
      <c r="B201" s="73"/>
    </row>
    <row r="202" ht="15.75" customHeight="1">
      <c r="A202" s="6"/>
      <c r="B202" s="73"/>
    </row>
    <row r="203" ht="15.75" customHeight="1">
      <c r="A203" s="6"/>
      <c r="B203" s="73"/>
    </row>
    <row r="204" ht="15.75" customHeight="1">
      <c r="A204" s="6"/>
      <c r="B204" s="73"/>
    </row>
    <row r="205" ht="15.75" customHeight="1">
      <c r="A205" s="6"/>
      <c r="B205" s="73"/>
    </row>
    <row r="206" ht="15.75" customHeight="1">
      <c r="A206" s="6"/>
      <c r="B206" s="73"/>
    </row>
    <row r="207" ht="15.75" customHeight="1">
      <c r="A207" s="6"/>
      <c r="B207" s="73"/>
    </row>
    <row r="208" ht="15.75" customHeight="1">
      <c r="A208" s="6"/>
      <c r="B208" s="73"/>
    </row>
    <row r="209" ht="15.75" customHeight="1">
      <c r="A209" s="6"/>
      <c r="B209" s="73"/>
    </row>
    <row r="210" ht="15.75" customHeight="1">
      <c r="A210" s="6"/>
      <c r="B210" s="73"/>
    </row>
    <row r="211" ht="15.75" customHeight="1">
      <c r="A211" s="6"/>
      <c r="B211" s="73"/>
    </row>
    <row r="212" ht="15.75" customHeight="1">
      <c r="A212" s="6"/>
      <c r="B212" s="73"/>
    </row>
    <row r="213" ht="15.75" customHeight="1">
      <c r="A213" s="6"/>
      <c r="B213" s="73"/>
    </row>
    <row r="214" ht="15.75" customHeight="1">
      <c r="A214" s="6"/>
      <c r="B214" s="73"/>
    </row>
    <row r="215" ht="15.75" customHeight="1">
      <c r="A215" s="6"/>
      <c r="B215" s="73"/>
    </row>
    <row r="216" ht="15.75" customHeight="1">
      <c r="A216" s="6"/>
      <c r="B216" s="73"/>
    </row>
    <row r="217" ht="15.75" customHeight="1">
      <c r="A217" s="6"/>
      <c r="B217" s="73"/>
    </row>
    <row r="218" ht="15.75" customHeight="1">
      <c r="A218" s="6"/>
      <c r="B218" s="73"/>
    </row>
    <row r="219" ht="15.75" customHeight="1">
      <c r="A219" s="6"/>
      <c r="B219" s="73"/>
    </row>
    <row r="220" ht="15.75" customHeight="1">
      <c r="A220" s="6"/>
      <c r="B220" s="73"/>
    </row>
    <row r="221" ht="15.75" customHeight="1">
      <c r="A221" s="6"/>
      <c r="B221" s="73"/>
    </row>
    <row r="222" ht="15.75" customHeight="1">
      <c r="A222" s="6"/>
      <c r="B222" s="73"/>
    </row>
    <row r="223" ht="15.75" customHeight="1">
      <c r="A223" s="6"/>
      <c r="B223" s="73"/>
    </row>
    <row r="224" ht="15.75" customHeight="1">
      <c r="A224" s="6"/>
      <c r="B224" s="73"/>
    </row>
    <row r="225" ht="15.75" customHeight="1">
      <c r="A225" s="6"/>
      <c r="B225" s="73"/>
    </row>
    <row r="226" ht="15.75" customHeight="1">
      <c r="A226" s="6"/>
      <c r="B226" s="73"/>
    </row>
    <row r="227" ht="15.75" customHeight="1">
      <c r="A227" s="6"/>
      <c r="B227" s="73"/>
    </row>
    <row r="228" ht="15.75" customHeight="1">
      <c r="A228" s="6"/>
      <c r="B228" s="73"/>
    </row>
    <row r="229" ht="15.75" customHeight="1">
      <c r="A229" s="6"/>
      <c r="B229" s="73"/>
    </row>
    <row r="230" ht="15.75" customHeight="1">
      <c r="A230" s="6"/>
      <c r="B230" s="73"/>
    </row>
    <row r="231" ht="15.75" customHeight="1">
      <c r="A231" s="6"/>
      <c r="B231" s="73"/>
    </row>
    <row r="232" ht="15.75" customHeight="1">
      <c r="A232" s="6"/>
      <c r="B232" s="73"/>
    </row>
    <row r="233" ht="15.75" customHeight="1">
      <c r="A233" s="6"/>
      <c r="B233" s="73"/>
    </row>
    <row r="234" ht="15.75" customHeight="1">
      <c r="A234" s="6"/>
      <c r="B234" s="73"/>
    </row>
    <row r="235" ht="15.75" customHeight="1">
      <c r="A235" s="6"/>
      <c r="B235" s="73"/>
    </row>
    <row r="236" ht="15.75" customHeight="1">
      <c r="A236" s="6"/>
      <c r="B236" s="73"/>
    </row>
    <row r="237" ht="15.75" customHeight="1">
      <c r="A237" s="6"/>
      <c r="B237" s="73"/>
    </row>
    <row r="238" ht="15.75" customHeight="1">
      <c r="A238" s="6"/>
      <c r="B238" s="73"/>
    </row>
    <row r="239" ht="15.75" customHeight="1">
      <c r="A239" s="6"/>
      <c r="B239" s="73"/>
    </row>
    <row r="240" ht="15.75" customHeight="1">
      <c r="A240" s="6"/>
      <c r="B240" s="73"/>
    </row>
    <row r="241" ht="15.75" customHeight="1">
      <c r="A241" s="6"/>
      <c r="B241" s="73"/>
    </row>
    <row r="242" ht="15.75" customHeight="1">
      <c r="A242" s="6"/>
      <c r="B242" s="73"/>
    </row>
    <row r="243" ht="15.75" customHeight="1">
      <c r="A243" s="6"/>
      <c r="B243" s="73"/>
    </row>
    <row r="244" ht="15.75" customHeight="1">
      <c r="A244" s="6"/>
      <c r="B244" s="73"/>
    </row>
    <row r="245" ht="15.75" customHeight="1">
      <c r="A245" s="6"/>
      <c r="B245" s="73"/>
    </row>
    <row r="246" ht="15.75" customHeight="1">
      <c r="A246" s="6"/>
      <c r="B246" s="73"/>
    </row>
    <row r="247" ht="15.75" customHeight="1">
      <c r="A247" s="6"/>
      <c r="B247" s="73"/>
    </row>
    <row r="248" ht="15.75" customHeight="1">
      <c r="A248" s="6"/>
      <c r="B248" s="73"/>
    </row>
    <row r="249" ht="15.75" customHeight="1">
      <c r="A249" s="6"/>
      <c r="B249" s="73"/>
    </row>
    <row r="250" ht="15.75" customHeight="1">
      <c r="A250" s="6"/>
      <c r="B250" s="73"/>
    </row>
    <row r="251" ht="15.75" customHeight="1">
      <c r="A251" s="6"/>
      <c r="B251" s="73"/>
    </row>
    <row r="252" ht="15.75" customHeight="1">
      <c r="A252" s="6"/>
      <c r="B252" s="73"/>
    </row>
    <row r="253" ht="15.75" customHeight="1">
      <c r="A253" s="6"/>
      <c r="B253" s="73"/>
    </row>
    <row r="254" ht="15.75" customHeight="1">
      <c r="A254" s="6"/>
      <c r="B254" s="73"/>
    </row>
    <row r="255" ht="15.75" customHeight="1">
      <c r="A255" s="6"/>
      <c r="B255" s="73"/>
    </row>
    <row r="256" ht="15.75" customHeight="1">
      <c r="A256" s="6"/>
      <c r="B256" s="73"/>
    </row>
    <row r="257" ht="15.75" customHeight="1">
      <c r="A257" s="6"/>
      <c r="B257" s="73"/>
    </row>
    <row r="258" ht="15.75" customHeight="1">
      <c r="A258" s="6"/>
      <c r="B258" s="73"/>
    </row>
    <row r="259" ht="15.75" customHeight="1">
      <c r="A259" s="6"/>
      <c r="B259" s="73"/>
    </row>
    <row r="260" ht="15.75" customHeight="1">
      <c r="A260" s="6"/>
      <c r="B260" s="73"/>
    </row>
    <row r="261" ht="15.75" customHeight="1">
      <c r="A261" s="6"/>
      <c r="B261" s="73"/>
    </row>
    <row r="262" ht="15.75" customHeight="1">
      <c r="A262" s="6"/>
      <c r="B262" s="73"/>
    </row>
    <row r="263" ht="15.75" customHeight="1">
      <c r="A263" s="6"/>
      <c r="B263" s="73"/>
    </row>
    <row r="264" ht="15.75" customHeight="1">
      <c r="A264" s="6"/>
      <c r="B264" s="73"/>
    </row>
    <row r="265" ht="15.75" customHeight="1">
      <c r="A265" s="6"/>
      <c r="B265" s="73"/>
    </row>
    <row r="266" ht="15.75" customHeight="1">
      <c r="A266" s="6"/>
      <c r="B266" s="73"/>
    </row>
    <row r="267" ht="15.75" customHeight="1">
      <c r="A267" s="6"/>
      <c r="B267" s="73"/>
    </row>
    <row r="268" ht="15.75" customHeight="1">
      <c r="A268" s="6"/>
      <c r="B268" s="73"/>
    </row>
    <row r="269" ht="15.75" customHeight="1">
      <c r="A269" s="6"/>
      <c r="B269" s="73"/>
    </row>
    <row r="270" ht="15.75" customHeight="1">
      <c r="A270" s="6"/>
      <c r="B270" s="73"/>
    </row>
    <row r="271" ht="15.75" customHeight="1">
      <c r="A271" s="6"/>
      <c r="B271" s="73"/>
    </row>
    <row r="272" ht="15.75" customHeight="1">
      <c r="A272" s="6"/>
      <c r="B272" s="73"/>
    </row>
    <row r="273" ht="15.75" customHeight="1">
      <c r="A273" s="6"/>
      <c r="B273" s="73"/>
    </row>
    <row r="274" ht="15.75" customHeight="1">
      <c r="A274" s="6"/>
      <c r="B274" s="73"/>
    </row>
    <row r="275" ht="15.75" customHeight="1">
      <c r="A275" s="6"/>
      <c r="B275" s="73"/>
    </row>
    <row r="276" ht="15.75" customHeight="1">
      <c r="A276" s="6"/>
      <c r="B276" s="73"/>
    </row>
    <row r="277" ht="15.75" customHeight="1">
      <c r="A277" s="6"/>
      <c r="B277" s="73"/>
    </row>
    <row r="278" ht="15.75" customHeight="1">
      <c r="A278" s="6"/>
      <c r="B278" s="73"/>
    </row>
    <row r="279" ht="15.75" customHeight="1">
      <c r="A279" s="6"/>
      <c r="B279" s="73"/>
    </row>
    <row r="280" ht="15.75" customHeight="1">
      <c r="A280" s="6"/>
      <c r="B280" s="73"/>
    </row>
    <row r="281" ht="15.75" customHeight="1">
      <c r="A281" s="6"/>
      <c r="B281" s="73"/>
    </row>
    <row r="282" ht="15.75" customHeight="1">
      <c r="A282" s="6"/>
      <c r="B282" s="73"/>
    </row>
    <row r="283" ht="15.75" customHeight="1">
      <c r="A283" s="6"/>
      <c r="B283" s="73"/>
    </row>
    <row r="284" ht="15.75" customHeight="1">
      <c r="A284" s="6"/>
      <c r="B284" s="73"/>
    </row>
    <row r="285" ht="15.75" customHeight="1">
      <c r="A285" s="6"/>
      <c r="B285" s="73"/>
    </row>
    <row r="286" ht="15.75" customHeight="1">
      <c r="A286" s="6"/>
      <c r="B286" s="73"/>
    </row>
    <row r="287" ht="15.75" customHeight="1">
      <c r="A287" s="6"/>
      <c r="B287" s="73"/>
    </row>
    <row r="288" ht="15.75" customHeight="1">
      <c r="A288" s="6"/>
      <c r="B288" s="73"/>
    </row>
    <row r="289" ht="15.75" customHeight="1">
      <c r="A289" s="6"/>
      <c r="B289" s="73"/>
    </row>
    <row r="290" ht="15.75" customHeight="1">
      <c r="A290" s="6"/>
      <c r="B290" s="73"/>
    </row>
    <row r="291" ht="15.75" customHeight="1">
      <c r="A291" s="6"/>
      <c r="B291" s="73"/>
    </row>
    <row r="292" ht="15.75" customHeight="1">
      <c r="A292" s="6"/>
      <c r="B292" s="73"/>
    </row>
    <row r="293" ht="15.75" customHeight="1">
      <c r="A293" s="6"/>
      <c r="B293" s="73"/>
    </row>
    <row r="294" ht="15.75" customHeight="1">
      <c r="A294" s="6"/>
      <c r="B294" s="73"/>
    </row>
    <row r="295" ht="15.75" customHeight="1">
      <c r="A295" s="6"/>
      <c r="B295" s="73"/>
    </row>
    <row r="296" ht="15.75" customHeight="1">
      <c r="A296" s="6"/>
      <c r="B296" s="73"/>
    </row>
    <row r="297" ht="15.75" customHeight="1">
      <c r="A297" s="6"/>
      <c r="B297" s="73"/>
    </row>
    <row r="298" ht="15.75" customHeight="1">
      <c r="A298" s="6"/>
      <c r="B298" s="73"/>
    </row>
    <row r="299" ht="15.75" customHeight="1">
      <c r="A299" s="6"/>
      <c r="B299" s="73"/>
    </row>
    <row r="300" ht="15.75" customHeight="1">
      <c r="A300" s="6"/>
      <c r="B300" s="73"/>
    </row>
    <row r="301" ht="15.75" customHeight="1">
      <c r="A301" s="6"/>
      <c r="B301" s="73"/>
    </row>
    <row r="302" ht="15.75" customHeight="1">
      <c r="A302" s="6"/>
      <c r="B302" s="73"/>
    </row>
    <row r="303" ht="15.75" customHeight="1">
      <c r="A303" s="6"/>
      <c r="B303" s="73"/>
    </row>
    <row r="304" ht="15.75" customHeight="1">
      <c r="A304" s="6"/>
      <c r="B304" s="73"/>
    </row>
    <row r="305" ht="15.75" customHeight="1">
      <c r="A305" s="6"/>
      <c r="B305" s="73"/>
    </row>
    <row r="306" ht="15.75" customHeight="1">
      <c r="A306" s="6"/>
      <c r="B306" s="73"/>
    </row>
    <row r="307" ht="15.75" customHeight="1">
      <c r="A307" s="6"/>
      <c r="B307" s="73"/>
    </row>
    <row r="308" ht="15.75" customHeight="1">
      <c r="A308" s="6"/>
      <c r="B308" s="73"/>
    </row>
    <row r="309" ht="15.75" customHeight="1">
      <c r="A309" s="6"/>
      <c r="B309" s="73"/>
    </row>
    <row r="310" ht="15.75" customHeight="1">
      <c r="A310" s="6"/>
      <c r="B310" s="73"/>
    </row>
    <row r="311" ht="15.75" customHeight="1">
      <c r="A311" s="6"/>
      <c r="B311" s="73"/>
    </row>
    <row r="312" ht="15.75" customHeight="1">
      <c r="A312" s="6"/>
      <c r="B312" s="73"/>
    </row>
    <row r="313" ht="15.75" customHeight="1">
      <c r="A313" s="6"/>
      <c r="B313" s="73"/>
    </row>
    <row r="314" ht="15.75" customHeight="1">
      <c r="A314" s="6"/>
      <c r="B314" s="73"/>
    </row>
    <row r="315" ht="15.75" customHeight="1">
      <c r="A315" s="6"/>
      <c r="B315" s="73"/>
    </row>
    <row r="316" ht="15.75" customHeight="1">
      <c r="A316" s="6"/>
      <c r="B316" s="73"/>
    </row>
    <row r="317" ht="15.75" customHeight="1">
      <c r="A317" s="6"/>
      <c r="B317" s="73"/>
    </row>
    <row r="318" ht="15.75" customHeight="1">
      <c r="A318" s="6"/>
      <c r="B318" s="73"/>
    </row>
    <row r="319" ht="15.75" customHeight="1">
      <c r="A319" s="6"/>
      <c r="B319" s="73"/>
    </row>
    <row r="320" ht="15.75" customHeight="1">
      <c r="A320" s="6"/>
      <c r="B320" s="73"/>
    </row>
    <row r="321" ht="15.75" customHeight="1">
      <c r="A321" s="6"/>
      <c r="B321" s="73"/>
    </row>
    <row r="322" ht="15.75" customHeight="1">
      <c r="A322" s="6"/>
      <c r="B322" s="73"/>
    </row>
    <row r="323" ht="15.75" customHeight="1">
      <c r="A323" s="6"/>
      <c r="B323" s="73"/>
    </row>
    <row r="324" ht="15.75" customHeight="1">
      <c r="A324" s="6"/>
      <c r="B324" s="73"/>
    </row>
    <row r="325" ht="15.75" customHeight="1">
      <c r="A325" s="6"/>
      <c r="B325" s="73"/>
    </row>
    <row r="326" ht="15.75" customHeight="1">
      <c r="A326" s="6"/>
      <c r="B326" s="73"/>
    </row>
    <row r="327" ht="15.75" customHeight="1">
      <c r="A327" s="6"/>
      <c r="B327" s="73"/>
    </row>
    <row r="328" ht="15.75" customHeight="1">
      <c r="A328" s="6"/>
      <c r="B328" s="73"/>
    </row>
    <row r="329" ht="15.75" customHeight="1">
      <c r="A329" s="6"/>
      <c r="B329" s="73"/>
    </row>
    <row r="330" ht="15.75" customHeight="1">
      <c r="A330" s="6"/>
      <c r="B330" s="73"/>
    </row>
    <row r="331" ht="15.75" customHeight="1">
      <c r="A331" s="6"/>
      <c r="B331" s="73"/>
    </row>
    <row r="332" ht="15.75" customHeight="1">
      <c r="A332" s="6"/>
      <c r="B332" s="73"/>
    </row>
    <row r="333" ht="15.75" customHeight="1">
      <c r="A333" s="6"/>
      <c r="B333" s="73"/>
    </row>
    <row r="334" ht="15.75" customHeight="1">
      <c r="A334" s="6"/>
      <c r="B334" s="73"/>
    </row>
    <row r="335" ht="15.75" customHeight="1">
      <c r="A335" s="6"/>
      <c r="B335" s="73"/>
    </row>
    <row r="336" ht="15.75" customHeight="1">
      <c r="A336" s="6"/>
      <c r="B336" s="73"/>
    </row>
    <row r="337" ht="15.75" customHeight="1">
      <c r="A337" s="6"/>
      <c r="B337" s="73"/>
    </row>
    <row r="338" ht="15.75" customHeight="1">
      <c r="A338" s="6"/>
      <c r="B338" s="73"/>
    </row>
    <row r="339" ht="15.75" customHeight="1">
      <c r="A339" s="6"/>
      <c r="B339" s="73"/>
    </row>
    <row r="340" ht="15.75" customHeight="1">
      <c r="A340" s="6"/>
      <c r="B340" s="73"/>
    </row>
    <row r="341" ht="15.75" customHeight="1">
      <c r="A341" s="6"/>
      <c r="B341" s="73"/>
    </row>
    <row r="342" ht="15.75" customHeight="1">
      <c r="A342" s="6"/>
      <c r="B342" s="73"/>
    </row>
    <row r="343" ht="15.75" customHeight="1">
      <c r="A343" s="6"/>
      <c r="B343" s="73"/>
    </row>
    <row r="344" ht="15.75" customHeight="1">
      <c r="A344" s="6"/>
      <c r="B344" s="73"/>
    </row>
    <row r="345" ht="15.75" customHeight="1">
      <c r="A345" s="6"/>
      <c r="B345" s="73"/>
    </row>
    <row r="346" ht="15.75" customHeight="1">
      <c r="A346" s="6"/>
      <c r="B346" s="73"/>
    </row>
    <row r="347" ht="15.75" customHeight="1">
      <c r="A347" s="6"/>
      <c r="B347" s="73"/>
    </row>
    <row r="348" ht="15.75" customHeight="1">
      <c r="A348" s="6"/>
      <c r="B348" s="73"/>
    </row>
    <row r="349" ht="15.75" customHeight="1">
      <c r="A349" s="6"/>
      <c r="B349" s="73"/>
    </row>
    <row r="350" ht="15.75" customHeight="1">
      <c r="A350" s="6"/>
      <c r="B350" s="73"/>
    </row>
    <row r="351" ht="15.75" customHeight="1">
      <c r="A351" s="6"/>
      <c r="B351" s="73"/>
    </row>
    <row r="352" ht="15.75" customHeight="1">
      <c r="A352" s="6"/>
      <c r="B352" s="73"/>
    </row>
    <row r="353" ht="15.75" customHeight="1">
      <c r="A353" s="6"/>
      <c r="B353" s="73"/>
    </row>
    <row r="354" ht="15.75" customHeight="1">
      <c r="A354" s="6"/>
      <c r="B354" s="73"/>
    </row>
    <row r="355" ht="15.75" customHeight="1">
      <c r="A355" s="6"/>
      <c r="B355" s="73"/>
    </row>
    <row r="356" ht="15.75" customHeight="1">
      <c r="A356" s="6"/>
      <c r="B356" s="73"/>
    </row>
    <row r="357" ht="15.75" customHeight="1">
      <c r="A357" s="6"/>
      <c r="B357" s="73"/>
    </row>
    <row r="358" ht="15.75" customHeight="1">
      <c r="A358" s="6"/>
      <c r="B358" s="73"/>
    </row>
    <row r="359" ht="15.75" customHeight="1">
      <c r="A359" s="6"/>
      <c r="B359" s="73"/>
    </row>
    <row r="360" ht="15.75" customHeight="1">
      <c r="A360" s="6"/>
      <c r="B360" s="73"/>
    </row>
    <row r="361" ht="15.75" customHeight="1">
      <c r="A361" s="6"/>
      <c r="B361" s="73"/>
    </row>
    <row r="362" ht="15.75" customHeight="1">
      <c r="A362" s="6"/>
      <c r="B362" s="73"/>
    </row>
    <row r="363" ht="15.75" customHeight="1">
      <c r="A363" s="6"/>
      <c r="B363" s="73"/>
    </row>
    <row r="364" ht="15.75" customHeight="1">
      <c r="A364" s="6"/>
      <c r="B364" s="73"/>
    </row>
    <row r="365" ht="15.75" customHeight="1">
      <c r="A365" s="6"/>
      <c r="B365" s="73"/>
    </row>
    <row r="366" ht="15.75" customHeight="1">
      <c r="A366" s="6"/>
      <c r="B366" s="73"/>
    </row>
    <row r="367" ht="15.75" customHeight="1">
      <c r="A367" s="6"/>
      <c r="B367" s="73"/>
    </row>
    <row r="368" ht="15.75" customHeight="1">
      <c r="A368" s="6"/>
      <c r="B368" s="73"/>
    </row>
    <row r="369" ht="15.75" customHeight="1">
      <c r="A369" s="6"/>
      <c r="B369" s="73"/>
    </row>
    <row r="370" ht="15.75" customHeight="1">
      <c r="A370" s="6"/>
      <c r="B370" s="73"/>
    </row>
    <row r="371" ht="15.75" customHeight="1">
      <c r="A371" s="6"/>
      <c r="B371" s="73"/>
    </row>
    <row r="372" ht="15.75" customHeight="1">
      <c r="A372" s="6"/>
      <c r="B372" s="73"/>
    </row>
    <row r="373" ht="15.75" customHeight="1">
      <c r="A373" s="6"/>
      <c r="B373" s="73"/>
    </row>
    <row r="374" ht="15.75" customHeight="1">
      <c r="A374" s="6"/>
      <c r="B374" s="73"/>
    </row>
    <row r="375" ht="15.75" customHeight="1">
      <c r="A375" s="6"/>
      <c r="B375" s="73"/>
    </row>
    <row r="376" ht="15.75" customHeight="1">
      <c r="A376" s="6"/>
      <c r="B376" s="73"/>
    </row>
    <row r="377" ht="15.75" customHeight="1">
      <c r="A377" s="6"/>
      <c r="B377" s="73"/>
    </row>
    <row r="378" ht="15.75" customHeight="1">
      <c r="A378" s="6"/>
      <c r="B378" s="73"/>
    </row>
    <row r="379" ht="15.75" customHeight="1">
      <c r="A379" s="6"/>
      <c r="B379" s="73"/>
    </row>
    <row r="380" ht="15.75" customHeight="1">
      <c r="A380" s="6"/>
      <c r="B380" s="73"/>
    </row>
    <row r="381" ht="15.75" customHeight="1">
      <c r="A381" s="6"/>
      <c r="B381" s="73"/>
    </row>
    <row r="382" ht="15.75" customHeight="1">
      <c r="A382" s="6"/>
      <c r="B382" s="73"/>
    </row>
    <row r="383" ht="15.75" customHeight="1">
      <c r="A383" s="6"/>
      <c r="B383" s="73"/>
    </row>
    <row r="384" ht="15.75" customHeight="1">
      <c r="A384" s="6"/>
      <c r="B384" s="73"/>
    </row>
    <row r="385" ht="15.75" customHeight="1">
      <c r="A385" s="6"/>
      <c r="B385" s="73"/>
    </row>
    <row r="386" ht="15.75" customHeight="1">
      <c r="A386" s="6"/>
      <c r="B386" s="73"/>
    </row>
    <row r="387" ht="15.75" customHeight="1">
      <c r="A387" s="6"/>
      <c r="B387" s="73"/>
    </row>
    <row r="388" ht="15.75" customHeight="1">
      <c r="A388" s="6"/>
      <c r="B388" s="73"/>
    </row>
    <row r="389" ht="15.75" customHeight="1">
      <c r="A389" s="6"/>
      <c r="B389" s="73"/>
    </row>
    <row r="390" ht="15.75" customHeight="1">
      <c r="A390" s="6"/>
      <c r="B390" s="73"/>
    </row>
    <row r="391" ht="15.75" customHeight="1">
      <c r="A391" s="6"/>
      <c r="B391" s="73"/>
    </row>
    <row r="392" ht="15.75" customHeight="1">
      <c r="A392" s="6"/>
      <c r="B392" s="73"/>
    </row>
    <row r="393" ht="15.75" customHeight="1">
      <c r="A393" s="6"/>
      <c r="B393" s="73"/>
    </row>
    <row r="394" ht="15.75" customHeight="1">
      <c r="A394" s="6"/>
      <c r="B394" s="73"/>
    </row>
    <row r="395" ht="15.75" customHeight="1">
      <c r="A395" s="6"/>
      <c r="B395" s="73"/>
    </row>
    <row r="396" ht="15.75" customHeight="1">
      <c r="A396" s="6"/>
      <c r="B396" s="73"/>
    </row>
    <row r="397" ht="15.75" customHeight="1">
      <c r="A397" s="6"/>
      <c r="B397" s="73"/>
    </row>
    <row r="398" ht="15.75" customHeight="1">
      <c r="A398" s="6"/>
      <c r="B398" s="73"/>
    </row>
    <row r="399" ht="15.75" customHeight="1">
      <c r="A399" s="6"/>
      <c r="B399" s="73"/>
    </row>
    <row r="400" ht="15.75" customHeight="1">
      <c r="A400" s="6"/>
      <c r="B400" s="73"/>
    </row>
    <row r="401" ht="15.75" customHeight="1">
      <c r="A401" s="6"/>
      <c r="B401" s="73"/>
    </row>
    <row r="402" ht="15.75" customHeight="1">
      <c r="A402" s="6"/>
      <c r="B402" s="73"/>
    </row>
    <row r="403" ht="15.75" customHeight="1">
      <c r="A403" s="6"/>
      <c r="B403" s="73"/>
    </row>
    <row r="404" ht="15.75" customHeight="1">
      <c r="A404" s="6"/>
      <c r="B404" s="73"/>
    </row>
    <row r="405" ht="15.75" customHeight="1">
      <c r="A405" s="6"/>
      <c r="B405" s="73"/>
    </row>
    <row r="406" ht="15.75" customHeight="1">
      <c r="A406" s="6"/>
      <c r="B406" s="73"/>
    </row>
    <row r="407" ht="15.75" customHeight="1">
      <c r="A407" s="6"/>
      <c r="B407" s="73"/>
    </row>
    <row r="408" ht="15.75" customHeight="1">
      <c r="A408" s="6"/>
      <c r="B408" s="73"/>
    </row>
    <row r="409" ht="15.75" customHeight="1">
      <c r="A409" s="6"/>
      <c r="B409" s="73"/>
    </row>
    <row r="410" ht="15.75" customHeight="1">
      <c r="A410" s="6"/>
      <c r="B410" s="73"/>
    </row>
    <row r="411" ht="15.75" customHeight="1">
      <c r="A411" s="6"/>
      <c r="B411" s="73"/>
    </row>
    <row r="412" ht="15.75" customHeight="1">
      <c r="A412" s="6"/>
      <c r="B412" s="73"/>
    </row>
    <row r="413" ht="15.75" customHeight="1">
      <c r="A413" s="6"/>
      <c r="B413" s="73"/>
    </row>
    <row r="414" ht="15.75" customHeight="1">
      <c r="A414" s="6"/>
      <c r="B414" s="73"/>
    </row>
    <row r="415" ht="15.75" customHeight="1">
      <c r="A415" s="6"/>
      <c r="B415" s="73"/>
    </row>
    <row r="416" ht="15.75" customHeight="1">
      <c r="A416" s="6"/>
      <c r="B416" s="73"/>
    </row>
    <row r="417" ht="15.75" customHeight="1">
      <c r="A417" s="6"/>
      <c r="B417" s="73"/>
    </row>
    <row r="418" ht="15.75" customHeight="1">
      <c r="A418" s="6"/>
      <c r="B418" s="73"/>
    </row>
    <row r="419" ht="15.75" customHeight="1">
      <c r="A419" s="6"/>
      <c r="B419" s="73"/>
    </row>
    <row r="420" ht="15.75" customHeight="1">
      <c r="A420" s="6"/>
      <c r="B420" s="73"/>
    </row>
    <row r="421" ht="15.75" customHeight="1">
      <c r="A421" s="6"/>
      <c r="B421" s="73"/>
    </row>
    <row r="422" ht="15.75" customHeight="1">
      <c r="A422" s="6"/>
      <c r="B422" s="73"/>
    </row>
    <row r="423" ht="15.75" customHeight="1">
      <c r="A423" s="6"/>
      <c r="B423" s="73"/>
    </row>
    <row r="424" ht="15.75" customHeight="1">
      <c r="A424" s="6"/>
      <c r="B424" s="73"/>
    </row>
    <row r="425" ht="15.75" customHeight="1">
      <c r="A425" s="6"/>
      <c r="B425" s="73"/>
    </row>
    <row r="426" ht="15.75" customHeight="1">
      <c r="A426" s="6"/>
      <c r="B426" s="73"/>
    </row>
    <row r="427" ht="15.75" customHeight="1">
      <c r="A427" s="6"/>
      <c r="B427" s="73"/>
    </row>
    <row r="428" ht="15.75" customHeight="1">
      <c r="A428" s="6"/>
      <c r="B428" s="73"/>
    </row>
    <row r="429" ht="15.75" customHeight="1">
      <c r="A429" s="6"/>
      <c r="B429" s="73"/>
    </row>
    <row r="430" ht="15.75" customHeight="1">
      <c r="A430" s="6"/>
      <c r="B430" s="73"/>
    </row>
    <row r="431" ht="15.75" customHeight="1">
      <c r="A431" s="6"/>
      <c r="B431" s="73"/>
    </row>
    <row r="432" ht="15.75" customHeight="1">
      <c r="A432" s="6"/>
      <c r="B432" s="73"/>
    </row>
    <row r="433" ht="15.75" customHeight="1">
      <c r="A433" s="6"/>
      <c r="B433" s="73"/>
    </row>
    <row r="434" ht="15.75" customHeight="1">
      <c r="A434" s="6"/>
      <c r="B434" s="73"/>
    </row>
    <row r="435" ht="15.75" customHeight="1">
      <c r="A435" s="6"/>
      <c r="B435" s="73"/>
    </row>
    <row r="436" ht="15.75" customHeight="1">
      <c r="A436" s="6"/>
      <c r="B436" s="73"/>
    </row>
    <row r="437" ht="15.75" customHeight="1">
      <c r="A437" s="6"/>
      <c r="B437" s="73"/>
    </row>
    <row r="438" ht="15.75" customHeight="1">
      <c r="A438" s="6"/>
      <c r="B438" s="73"/>
    </row>
    <row r="439" ht="15.75" customHeight="1">
      <c r="A439" s="6"/>
      <c r="B439" s="73"/>
    </row>
    <row r="440" ht="15.75" customHeight="1">
      <c r="A440" s="6"/>
      <c r="B440" s="73"/>
    </row>
    <row r="441" ht="15.75" customHeight="1">
      <c r="A441" s="6"/>
      <c r="B441" s="73"/>
    </row>
    <row r="442" ht="15.75" customHeight="1">
      <c r="A442" s="6"/>
      <c r="B442" s="73"/>
    </row>
    <row r="443" ht="15.75" customHeight="1">
      <c r="A443" s="6"/>
      <c r="B443" s="73"/>
    </row>
    <row r="444" ht="15.75" customHeight="1">
      <c r="A444" s="6"/>
      <c r="B444" s="73"/>
    </row>
    <row r="445" ht="15.75" customHeight="1">
      <c r="A445" s="6"/>
      <c r="B445" s="73"/>
    </row>
    <row r="446" ht="15.75" customHeight="1">
      <c r="A446" s="6"/>
      <c r="B446" s="73"/>
    </row>
    <row r="447" ht="15.75" customHeight="1">
      <c r="A447" s="6"/>
      <c r="B447" s="73"/>
    </row>
    <row r="448" ht="15.75" customHeight="1">
      <c r="A448" s="6"/>
      <c r="B448" s="73"/>
    </row>
    <row r="449" ht="15.75" customHeight="1">
      <c r="A449" s="6"/>
      <c r="B449" s="73"/>
    </row>
    <row r="450" ht="15.75" customHeight="1">
      <c r="A450" s="6"/>
      <c r="B450" s="73"/>
    </row>
    <row r="451" ht="15.75" customHeight="1">
      <c r="A451" s="6"/>
      <c r="B451" s="73"/>
    </row>
    <row r="452" ht="15.75" customHeight="1">
      <c r="A452" s="6"/>
      <c r="B452" s="73"/>
    </row>
    <row r="453" ht="15.75" customHeight="1">
      <c r="A453" s="6"/>
      <c r="B453" s="73"/>
    </row>
    <row r="454" ht="15.75" customHeight="1">
      <c r="A454" s="6"/>
      <c r="B454" s="73"/>
    </row>
    <row r="455" ht="15.75" customHeight="1">
      <c r="A455" s="6"/>
      <c r="B455" s="73"/>
    </row>
    <row r="456" ht="15.75" customHeight="1">
      <c r="A456" s="6"/>
      <c r="B456" s="73"/>
    </row>
    <row r="457" ht="15.75" customHeight="1">
      <c r="A457" s="6"/>
      <c r="B457" s="73"/>
    </row>
    <row r="458" ht="15.75" customHeight="1">
      <c r="A458" s="6"/>
      <c r="B458" s="73"/>
    </row>
    <row r="459" ht="15.75" customHeight="1">
      <c r="A459" s="6"/>
      <c r="B459" s="73"/>
    </row>
    <row r="460" ht="15.75" customHeight="1">
      <c r="A460" s="6"/>
      <c r="B460" s="73"/>
    </row>
    <row r="461" ht="15.75" customHeight="1">
      <c r="A461" s="6"/>
      <c r="B461" s="73"/>
    </row>
    <row r="462" ht="15.75" customHeight="1">
      <c r="A462" s="6"/>
      <c r="B462" s="73"/>
    </row>
    <row r="463" ht="15.75" customHeight="1">
      <c r="A463" s="6"/>
      <c r="B463" s="73"/>
    </row>
    <row r="464" ht="15.75" customHeight="1">
      <c r="A464" s="6"/>
      <c r="B464" s="73"/>
    </row>
    <row r="465" ht="15.75" customHeight="1">
      <c r="A465" s="6"/>
      <c r="B465" s="73"/>
    </row>
    <row r="466" ht="15.75" customHeight="1">
      <c r="A466" s="6"/>
      <c r="B466" s="73"/>
    </row>
    <row r="467" ht="15.75" customHeight="1">
      <c r="A467" s="6"/>
      <c r="B467" s="73"/>
    </row>
    <row r="468" ht="15.75" customHeight="1">
      <c r="A468" s="6"/>
      <c r="B468" s="73"/>
    </row>
    <row r="469" ht="15.75" customHeight="1">
      <c r="A469" s="6"/>
      <c r="B469" s="73"/>
    </row>
    <row r="470" ht="15.75" customHeight="1">
      <c r="A470" s="6"/>
      <c r="B470" s="73"/>
    </row>
    <row r="471" ht="15.75" customHeight="1">
      <c r="A471" s="6"/>
      <c r="B471" s="73"/>
    </row>
    <row r="472" ht="15.75" customHeight="1">
      <c r="A472" s="6"/>
      <c r="B472" s="73"/>
    </row>
    <row r="473" ht="15.75" customHeight="1">
      <c r="A473" s="6"/>
      <c r="B473" s="73"/>
    </row>
    <row r="474" ht="15.75" customHeight="1">
      <c r="A474" s="6"/>
      <c r="B474" s="73"/>
    </row>
    <row r="475" ht="15.75" customHeight="1">
      <c r="A475" s="6"/>
      <c r="B475" s="73"/>
    </row>
    <row r="476" ht="15.75" customHeight="1">
      <c r="A476" s="6"/>
      <c r="B476" s="73"/>
    </row>
    <row r="477" ht="15.75" customHeight="1">
      <c r="A477" s="6"/>
      <c r="B477" s="73"/>
    </row>
    <row r="478" ht="15.75" customHeight="1">
      <c r="A478" s="6"/>
      <c r="B478" s="73"/>
    </row>
    <row r="479" ht="15.75" customHeight="1">
      <c r="A479" s="6"/>
      <c r="B479" s="73"/>
    </row>
    <row r="480" ht="15.75" customHeight="1">
      <c r="A480" s="6"/>
      <c r="B480" s="73"/>
    </row>
    <row r="481" ht="15.75" customHeight="1">
      <c r="A481" s="6"/>
      <c r="B481" s="73"/>
    </row>
    <row r="482" ht="15.75" customHeight="1">
      <c r="A482" s="6"/>
      <c r="B482" s="73"/>
    </row>
    <row r="483" ht="15.75" customHeight="1">
      <c r="A483" s="6"/>
      <c r="B483" s="73"/>
    </row>
    <row r="484" ht="15.75" customHeight="1">
      <c r="A484" s="6"/>
      <c r="B484" s="73"/>
    </row>
    <row r="485" ht="15.75" customHeight="1">
      <c r="A485" s="6"/>
      <c r="B485" s="73"/>
    </row>
    <row r="486" ht="15.75" customHeight="1">
      <c r="A486" s="6"/>
      <c r="B486" s="73"/>
    </row>
    <row r="487" ht="15.75" customHeight="1">
      <c r="A487" s="6"/>
      <c r="B487" s="73"/>
    </row>
    <row r="488" ht="15.75" customHeight="1">
      <c r="A488" s="6"/>
      <c r="B488" s="73"/>
    </row>
    <row r="489" ht="15.75" customHeight="1">
      <c r="A489" s="6"/>
      <c r="B489" s="73"/>
    </row>
    <row r="490" ht="15.75" customHeight="1">
      <c r="A490" s="6"/>
      <c r="B490" s="73"/>
    </row>
    <row r="491" ht="15.75" customHeight="1">
      <c r="A491" s="6"/>
      <c r="B491" s="73"/>
    </row>
    <row r="492" ht="15.75" customHeight="1">
      <c r="A492" s="6"/>
      <c r="B492" s="73"/>
    </row>
    <row r="493" ht="15.75" customHeight="1">
      <c r="A493" s="6"/>
      <c r="B493" s="73"/>
    </row>
    <row r="494" ht="15.75" customHeight="1">
      <c r="A494" s="6"/>
      <c r="B494" s="73"/>
    </row>
    <row r="495" ht="15.75" customHeight="1">
      <c r="A495" s="6"/>
      <c r="B495" s="73"/>
    </row>
    <row r="496" ht="15.75" customHeight="1">
      <c r="A496" s="6"/>
      <c r="B496" s="73"/>
    </row>
    <row r="497" ht="15.75" customHeight="1">
      <c r="A497" s="6"/>
      <c r="B497" s="73"/>
    </row>
    <row r="498" ht="15.75" customHeight="1">
      <c r="A498" s="6"/>
      <c r="B498" s="73"/>
    </row>
    <row r="499" ht="15.75" customHeight="1">
      <c r="A499" s="6"/>
      <c r="B499" s="73"/>
    </row>
    <row r="500" ht="15.75" customHeight="1">
      <c r="A500" s="6"/>
      <c r="B500" s="73"/>
    </row>
    <row r="501" ht="15.75" customHeight="1">
      <c r="A501" s="6"/>
      <c r="B501" s="73"/>
    </row>
    <row r="502" ht="15.75" customHeight="1">
      <c r="A502" s="6"/>
      <c r="B502" s="73"/>
    </row>
    <row r="503" ht="15.75" customHeight="1">
      <c r="A503" s="6"/>
      <c r="B503" s="73"/>
    </row>
    <row r="504" ht="15.75" customHeight="1">
      <c r="A504" s="6"/>
      <c r="B504" s="73"/>
    </row>
    <row r="505" ht="15.75" customHeight="1">
      <c r="A505" s="6"/>
      <c r="B505" s="73"/>
    </row>
    <row r="506" ht="15.75" customHeight="1">
      <c r="A506" s="6"/>
      <c r="B506" s="73"/>
    </row>
    <row r="507" ht="15.75" customHeight="1">
      <c r="A507" s="6"/>
      <c r="B507" s="73"/>
    </row>
    <row r="508" ht="15.75" customHeight="1">
      <c r="A508" s="6"/>
      <c r="B508" s="73"/>
    </row>
    <row r="509" ht="15.75" customHeight="1">
      <c r="A509" s="6"/>
      <c r="B509" s="73"/>
    </row>
    <row r="510" ht="15.75" customHeight="1">
      <c r="A510" s="6"/>
      <c r="B510" s="73"/>
    </row>
    <row r="511" ht="15.75" customHeight="1">
      <c r="A511" s="6"/>
      <c r="B511" s="73"/>
    </row>
    <row r="512" ht="15.75" customHeight="1">
      <c r="A512" s="6"/>
      <c r="B512" s="73"/>
    </row>
    <row r="513" ht="15.75" customHeight="1">
      <c r="A513" s="6"/>
      <c r="B513" s="73"/>
    </row>
    <row r="514" ht="15.75" customHeight="1">
      <c r="A514" s="6"/>
      <c r="B514" s="73"/>
    </row>
    <row r="515" ht="15.75" customHeight="1">
      <c r="A515" s="6"/>
      <c r="B515" s="73"/>
    </row>
    <row r="516" ht="15.75" customHeight="1">
      <c r="A516" s="6"/>
      <c r="B516" s="73"/>
    </row>
    <row r="517" ht="15.75" customHeight="1">
      <c r="A517" s="6"/>
      <c r="B517" s="73"/>
    </row>
    <row r="518" ht="15.75" customHeight="1">
      <c r="A518" s="6"/>
      <c r="B518" s="73"/>
    </row>
    <row r="519" ht="15.75" customHeight="1">
      <c r="A519" s="6"/>
      <c r="B519" s="73"/>
    </row>
    <row r="520" ht="15.75" customHeight="1">
      <c r="A520" s="6"/>
      <c r="B520" s="73"/>
    </row>
    <row r="521" ht="15.75" customHeight="1">
      <c r="A521" s="6"/>
      <c r="B521" s="73"/>
    </row>
    <row r="522" ht="15.75" customHeight="1">
      <c r="A522" s="6"/>
      <c r="B522" s="73"/>
    </row>
    <row r="523" ht="15.75" customHeight="1">
      <c r="A523" s="6"/>
      <c r="B523" s="73"/>
    </row>
    <row r="524" ht="15.75" customHeight="1">
      <c r="A524" s="6"/>
      <c r="B524" s="73"/>
    </row>
    <row r="525" ht="15.75" customHeight="1">
      <c r="A525" s="6"/>
      <c r="B525" s="73"/>
    </row>
    <row r="526" ht="15.75" customHeight="1">
      <c r="A526" s="6"/>
      <c r="B526" s="73"/>
    </row>
    <row r="527" ht="15.75" customHeight="1">
      <c r="A527" s="6"/>
      <c r="B527" s="73"/>
    </row>
    <row r="528" ht="15.75" customHeight="1">
      <c r="A528" s="6"/>
      <c r="B528" s="73"/>
    </row>
    <row r="529" ht="15.75" customHeight="1">
      <c r="A529" s="6"/>
      <c r="B529" s="73"/>
    </row>
    <row r="530" ht="15.75" customHeight="1">
      <c r="A530" s="6"/>
      <c r="B530" s="73"/>
    </row>
    <row r="531" ht="15.75" customHeight="1">
      <c r="A531" s="6"/>
      <c r="B531" s="73"/>
    </row>
    <row r="532" ht="15.75" customHeight="1">
      <c r="A532" s="6"/>
      <c r="B532" s="73"/>
    </row>
    <row r="533" ht="15.75" customHeight="1">
      <c r="A533" s="6"/>
      <c r="B533" s="73"/>
    </row>
    <row r="534" ht="15.75" customHeight="1">
      <c r="A534" s="6"/>
      <c r="B534" s="73"/>
    </row>
    <row r="535" ht="15.75" customHeight="1">
      <c r="A535" s="6"/>
      <c r="B535" s="73"/>
    </row>
    <row r="536" ht="15.75" customHeight="1">
      <c r="A536" s="6"/>
      <c r="B536" s="73"/>
    </row>
    <row r="537" ht="15.75" customHeight="1">
      <c r="A537" s="6"/>
      <c r="B537" s="73"/>
    </row>
    <row r="538" ht="15.75" customHeight="1">
      <c r="A538" s="6"/>
      <c r="B538" s="73"/>
    </row>
    <row r="539" ht="15.75" customHeight="1">
      <c r="A539" s="6"/>
      <c r="B539" s="73"/>
    </row>
    <row r="540" ht="15.75" customHeight="1">
      <c r="A540" s="6"/>
      <c r="B540" s="73"/>
    </row>
    <row r="541" ht="15.75" customHeight="1">
      <c r="A541" s="6"/>
      <c r="B541" s="73"/>
    </row>
    <row r="542" ht="15.75" customHeight="1">
      <c r="A542" s="6"/>
      <c r="B542" s="73"/>
    </row>
    <row r="543" ht="15.75" customHeight="1">
      <c r="A543" s="6"/>
      <c r="B543" s="73"/>
    </row>
    <row r="544" ht="15.75" customHeight="1">
      <c r="A544" s="6"/>
      <c r="B544" s="73"/>
    </row>
    <row r="545" ht="15.75" customHeight="1">
      <c r="A545" s="6"/>
      <c r="B545" s="73"/>
    </row>
    <row r="546" ht="15.75" customHeight="1">
      <c r="A546" s="6"/>
      <c r="B546" s="73"/>
    </row>
    <row r="547" ht="15.75" customHeight="1">
      <c r="A547" s="6"/>
      <c r="B547" s="73"/>
    </row>
    <row r="548" ht="15.75" customHeight="1">
      <c r="A548" s="6"/>
      <c r="B548" s="73"/>
    </row>
    <row r="549" ht="15.75" customHeight="1">
      <c r="A549" s="6"/>
      <c r="B549" s="73"/>
    </row>
    <row r="550" ht="15.75" customHeight="1">
      <c r="A550" s="6"/>
      <c r="B550" s="73"/>
    </row>
    <row r="551" ht="15.75" customHeight="1">
      <c r="A551" s="6"/>
      <c r="B551" s="73"/>
    </row>
    <row r="552" ht="15.75" customHeight="1">
      <c r="A552" s="6"/>
      <c r="B552" s="73"/>
    </row>
    <row r="553" ht="15.75" customHeight="1">
      <c r="A553" s="6"/>
      <c r="B553" s="73"/>
    </row>
    <row r="554" ht="15.75" customHeight="1">
      <c r="A554" s="6"/>
      <c r="B554" s="73"/>
    </row>
    <row r="555" ht="15.75" customHeight="1">
      <c r="A555" s="6"/>
      <c r="B555" s="73"/>
    </row>
    <row r="556" ht="15.75" customHeight="1">
      <c r="A556" s="6"/>
      <c r="B556" s="73"/>
    </row>
    <row r="557" ht="15.75" customHeight="1">
      <c r="A557" s="6"/>
      <c r="B557" s="73"/>
    </row>
    <row r="558" ht="15.75" customHeight="1">
      <c r="A558" s="6"/>
      <c r="B558" s="73"/>
    </row>
    <row r="559" ht="15.75" customHeight="1">
      <c r="A559" s="6"/>
      <c r="B559" s="73"/>
    </row>
    <row r="560" ht="15.75" customHeight="1">
      <c r="A560" s="6"/>
      <c r="B560" s="73"/>
    </row>
    <row r="561" ht="15.75" customHeight="1">
      <c r="A561" s="6"/>
      <c r="B561" s="73"/>
    </row>
    <row r="562" ht="15.75" customHeight="1">
      <c r="A562" s="6"/>
      <c r="B562" s="73"/>
    </row>
    <row r="563" ht="15.75" customHeight="1">
      <c r="A563" s="6"/>
      <c r="B563" s="73"/>
    </row>
    <row r="564" ht="15.75" customHeight="1">
      <c r="A564" s="6"/>
      <c r="B564" s="73"/>
    </row>
    <row r="565" ht="15.75" customHeight="1">
      <c r="A565" s="6"/>
      <c r="B565" s="73"/>
    </row>
    <row r="566" ht="15.75" customHeight="1">
      <c r="A566" s="6"/>
      <c r="B566" s="73"/>
    </row>
    <row r="567" ht="15.75" customHeight="1">
      <c r="A567" s="6"/>
      <c r="B567" s="73"/>
    </row>
    <row r="568" ht="15.75" customHeight="1">
      <c r="A568" s="6"/>
      <c r="B568" s="73"/>
    </row>
    <row r="569" ht="15.75" customHeight="1">
      <c r="A569" s="6"/>
      <c r="B569" s="73"/>
    </row>
    <row r="570" ht="15.75" customHeight="1">
      <c r="A570" s="6"/>
      <c r="B570" s="73"/>
    </row>
    <row r="571" ht="15.75" customHeight="1">
      <c r="A571" s="6"/>
      <c r="B571" s="73"/>
    </row>
    <row r="572" ht="15.75" customHeight="1">
      <c r="A572" s="6"/>
      <c r="B572" s="73"/>
    </row>
    <row r="573" ht="15.75" customHeight="1">
      <c r="A573" s="6"/>
      <c r="B573" s="73"/>
    </row>
    <row r="574" ht="15.75" customHeight="1">
      <c r="A574" s="6"/>
      <c r="B574" s="73"/>
    </row>
    <row r="575" ht="15.75" customHeight="1">
      <c r="A575" s="6"/>
      <c r="B575" s="73"/>
    </row>
    <row r="576" ht="15.75" customHeight="1">
      <c r="A576" s="6"/>
      <c r="B576" s="73"/>
    </row>
    <row r="577" ht="15.75" customHeight="1">
      <c r="A577" s="6"/>
      <c r="B577" s="73"/>
    </row>
    <row r="578" ht="15.75" customHeight="1">
      <c r="A578" s="6"/>
      <c r="B578" s="73"/>
    </row>
    <row r="579" ht="15.75" customHeight="1">
      <c r="A579" s="6"/>
      <c r="B579" s="73"/>
    </row>
    <row r="580" ht="15.75" customHeight="1">
      <c r="A580" s="6"/>
      <c r="B580" s="73"/>
    </row>
    <row r="581" ht="15.75" customHeight="1">
      <c r="A581" s="6"/>
      <c r="B581" s="73"/>
    </row>
    <row r="582" ht="15.75" customHeight="1">
      <c r="A582" s="6"/>
      <c r="B582" s="73"/>
    </row>
    <row r="583" ht="15.75" customHeight="1">
      <c r="A583" s="6"/>
      <c r="B583" s="73"/>
    </row>
    <row r="584" ht="15.75" customHeight="1">
      <c r="A584" s="6"/>
      <c r="B584" s="73"/>
    </row>
    <row r="585" ht="15.75" customHeight="1">
      <c r="A585" s="6"/>
      <c r="B585" s="73"/>
    </row>
    <row r="586" ht="15.75" customHeight="1">
      <c r="A586" s="6"/>
      <c r="B586" s="73"/>
    </row>
    <row r="587" ht="15.75" customHeight="1">
      <c r="A587" s="6"/>
      <c r="B587" s="73"/>
    </row>
    <row r="588" ht="15.75" customHeight="1">
      <c r="A588" s="6"/>
      <c r="B588" s="73"/>
    </row>
    <row r="589" ht="15.75" customHeight="1">
      <c r="A589" s="6"/>
      <c r="B589" s="73"/>
    </row>
    <row r="590" ht="15.75" customHeight="1">
      <c r="A590" s="6"/>
      <c r="B590" s="73"/>
    </row>
    <row r="591" ht="15.75" customHeight="1">
      <c r="A591" s="6"/>
      <c r="B591" s="73"/>
    </row>
    <row r="592" ht="15.75" customHeight="1">
      <c r="A592" s="6"/>
      <c r="B592" s="73"/>
    </row>
    <row r="593" ht="15.75" customHeight="1">
      <c r="A593" s="6"/>
      <c r="B593" s="73"/>
    </row>
    <row r="594" ht="15.75" customHeight="1">
      <c r="A594" s="6"/>
      <c r="B594" s="73"/>
    </row>
    <row r="595" ht="15.75" customHeight="1">
      <c r="A595" s="6"/>
      <c r="B595" s="73"/>
    </row>
    <row r="596" ht="15.75" customHeight="1">
      <c r="A596" s="6"/>
      <c r="B596" s="73"/>
    </row>
    <row r="597" ht="15.75" customHeight="1">
      <c r="A597" s="6"/>
      <c r="B597" s="73"/>
    </row>
    <row r="598" ht="15.75" customHeight="1">
      <c r="A598" s="6"/>
      <c r="B598" s="73"/>
    </row>
    <row r="599" ht="15.75" customHeight="1">
      <c r="A599" s="6"/>
      <c r="B599" s="73"/>
    </row>
    <row r="600" ht="15.75" customHeight="1">
      <c r="A600" s="6"/>
      <c r="B600" s="73"/>
    </row>
    <row r="601" ht="15.75" customHeight="1">
      <c r="A601" s="6"/>
      <c r="B601" s="73"/>
    </row>
    <row r="602" ht="15.75" customHeight="1">
      <c r="A602" s="6"/>
      <c r="B602" s="73"/>
    </row>
    <row r="603" ht="15.75" customHeight="1">
      <c r="A603" s="6"/>
      <c r="B603" s="73"/>
    </row>
    <row r="604" ht="15.75" customHeight="1">
      <c r="A604" s="6"/>
      <c r="B604" s="73"/>
    </row>
    <row r="605" ht="15.75" customHeight="1">
      <c r="A605" s="6"/>
      <c r="B605" s="73"/>
    </row>
    <row r="606" ht="15.75" customHeight="1">
      <c r="A606" s="6"/>
      <c r="B606" s="73"/>
    </row>
    <row r="607" ht="15.75" customHeight="1">
      <c r="A607" s="6"/>
      <c r="B607" s="73"/>
    </row>
    <row r="608" ht="15.75" customHeight="1">
      <c r="A608" s="6"/>
      <c r="B608" s="73"/>
    </row>
    <row r="609" ht="15.75" customHeight="1">
      <c r="A609" s="6"/>
      <c r="B609" s="73"/>
    </row>
    <row r="610" ht="15.75" customHeight="1">
      <c r="A610" s="6"/>
      <c r="B610" s="73"/>
    </row>
    <row r="611" ht="15.75" customHeight="1">
      <c r="A611" s="6"/>
      <c r="B611" s="73"/>
    </row>
    <row r="612" ht="15.75" customHeight="1">
      <c r="A612" s="6"/>
      <c r="B612" s="73"/>
    </row>
    <row r="613" ht="15.75" customHeight="1">
      <c r="A613" s="6"/>
      <c r="B613" s="73"/>
    </row>
    <row r="614" ht="15.75" customHeight="1">
      <c r="A614" s="6"/>
      <c r="B614" s="73"/>
    </row>
    <row r="615" ht="15.75" customHeight="1">
      <c r="A615" s="6"/>
      <c r="B615" s="73"/>
    </row>
    <row r="616" ht="15.75" customHeight="1">
      <c r="A616" s="6"/>
      <c r="B616" s="73"/>
    </row>
    <row r="617" ht="15.75" customHeight="1">
      <c r="A617" s="6"/>
      <c r="B617" s="73"/>
    </row>
    <row r="618" ht="15.75" customHeight="1">
      <c r="A618" s="6"/>
      <c r="B618" s="73"/>
    </row>
    <row r="619" ht="15.75" customHeight="1">
      <c r="A619" s="6"/>
      <c r="B619" s="73"/>
    </row>
    <row r="620" ht="15.75" customHeight="1">
      <c r="A620" s="6"/>
      <c r="B620" s="73"/>
    </row>
    <row r="621" ht="15.75" customHeight="1">
      <c r="A621" s="6"/>
      <c r="B621" s="73"/>
    </row>
    <row r="622" ht="15.75" customHeight="1">
      <c r="A622" s="6"/>
      <c r="B622" s="73"/>
    </row>
    <row r="623" ht="15.75" customHeight="1">
      <c r="A623" s="6"/>
      <c r="B623" s="73"/>
    </row>
    <row r="624" ht="15.75" customHeight="1">
      <c r="A624" s="6"/>
      <c r="B624" s="73"/>
    </row>
    <row r="625" ht="15.75" customHeight="1">
      <c r="A625" s="6"/>
      <c r="B625" s="73"/>
    </row>
    <row r="626" ht="15.75" customHeight="1">
      <c r="A626" s="6"/>
      <c r="B626" s="73"/>
    </row>
    <row r="627" ht="15.75" customHeight="1">
      <c r="A627" s="6"/>
      <c r="B627" s="73"/>
    </row>
    <row r="628" ht="15.75" customHeight="1">
      <c r="A628" s="6"/>
      <c r="B628" s="73"/>
    </row>
    <row r="629" ht="15.75" customHeight="1">
      <c r="A629" s="6"/>
      <c r="B629" s="73"/>
    </row>
    <row r="630" ht="15.75" customHeight="1">
      <c r="A630" s="6"/>
      <c r="B630" s="73"/>
    </row>
    <row r="631" ht="15.75" customHeight="1">
      <c r="A631" s="6"/>
      <c r="B631" s="73"/>
    </row>
    <row r="632" ht="15.75" customHeight="1">
      <c r="A632" s="6"/>
      <c r="B632" s="73"/>
    </row>
    <row r="633" ht="15.75" customHeight="1">
      <c r="A633" s="6"/>
      <c r="B633" s="73"/>
    </row>
    <row r="634" ht="15.75" customHeight="1">
      <c r="A634" s="6"/>
      <c r="B634" s="73"/>
    </row>
    <row r="635" ht="15.75" customHeight="1">
      <c r="A635" s="6"/>
      <c r="B635" s="73"/>
    </row>
    <row r="636" ht="15.75" customHeight="1">
      <c r="A636" s="6"/>
      <c r="B636" s="73"/>
    </row>
    <row r="637" ht="15.75" customHeight="1">
      <c r="A637" s="6"/>
      <c r="B637" s="73"/>
    </row>
    <row r="638" ht="15.75" customHeight="1">
      <c r="A638" s="6"/>
      <c r="B638" s="73"/>
    </row>
    <row r="639" ht="15.75" customHeight="1">
      <c r="A639" s="6"/>
      <c r="B639" s="73"/>
    </row>
    <row r="640" ht="15.75" customHeight="1">
      <c r="A640" s="6"/>
      <c r="B640" s="73"/>
    </row>
    <row r="641" ht="15.75" customHeight="1">
      <c r="A641" s="6"/>
      <c r="B641" s="73"/>
    </row>
    <row r="642" ht="15.75" customHeight="1">
      <c r="A642" s="6"/>
      <c r="B642" s="73"/>
    </row>
    <row r="643" ht="15.75" customHeight="1">
      <c r="A643" s="6"/>
      <c r="B643" s="73"/>
    </row>
    <row r="644" ht="15.75" customHeight="1">
      <c r="A644" s="6"/>
      <c r="B644" s="73"/>
    </row>
    <row r="645" ht="15.75" customHeight="1">
      <c r="A645" s="6"/>
      <c r="B645" s="73"/>
    </row>
    <row r="646" ht="15.75" customHeight="1">
      <c r="A646" s="6"/>
      <c r="B646" s="73"/>
    </row>
    <row r="647" ht="15.75" customHeight="1">
      <c r="A647" s="6"/>
      <c r="B647" s="73"/>
    </row>
    <row r="648" ht="15.75" customHeight="1">
      <c r="A648" s="6"/>
      <c r="B648" s="73"/>
    </row>
    <row r="649" ht="15.75" customHeight="1">
      <c r="A649" s="6"/>
      <c r="B649" s="73"/>
    </row>
    <row r="650" ht="15.75" customHeight="1">
      <c r="A650" s="6"/>
      <c r="B650" s="73"/>
    </row>
    <row r="651" ht="15.75" customHeight="1">
      <c r="A651" s="6"/>
      <c r="B651" s="73"/>
    </row>
    <row r="652" ht="15.75" customHeight="1">
      <c r="A652" s="6"/>
      <c r="B652" s="73"/>
    </row>
    <row r="653" ht="15.75" customHeight="1">
      <c r="A653" s="6"/>
      <c r="B653" s="73"/>
    </row>
    <row r="654" ht="15.75" customHeight="1">
      <c r="A654" s="6"/>
      <c r="B654" s="73"/>
    </row>
    <row r="655" ht="15.75" customHeight="1">
      <c r="A655" s="6"/>
      <c r="B655" s="73"/>
    </row>
    <row r="656" ht="15.75" customHeight="1">
      <c r="A656" s="6"/>
      <c r="B656" s="73"/>
    </row>
    <row r="657" ht="15.75" customHeight="1">
      <c r="A657" s="6"/>
      <c r="B657" s="73"/>
    </row>
    <row r="658" ht="15.75" customHeight="1">
      <c r="A658" s="6"/>
      <c r="B658" s="73"/>
    </row>
    <row r="659" ht="15.75" customHeight="1">
      <c r="A659" s="6"/>
      <c r="B659" s="73"/>
    </row>
    <row r="660" ht="15.75" customHeight="1">
      <c r="A660" s="6"/>
      <c r="B660" s="73"/>
    </row>
    <row r="661" ht="15.75" customHeight="1">
      <c r="A661" s="6"/>
      <c r="B661" s="73"/>
    </row>
    <row r="662" ht="15.75" customHeight="1">
      <c r="A662" s="6"/>
      <c r="B662" s="73"/>
    </row>
    <row r="663" ht="15.75" customHeight="1">
      <c r="A663" s="6"/>
      <c r="B663" s="73"/>
    </row>
    <row r="664" ht="15.75" customHeight="1">
      <c r="A664" s="6"/>
      <c r="B664" s="73"/>
    </row>
    <row r="665" ht="15.75" customHeight="1">
      <c r="A665" s="6"/>
      <c r="B665" s="73"/>
    </row>
    <row r="666" ht="15.75" customHeight="1">
      <c r="A666" s="6"/>
      <c r="B666" s="73"/>
    </row>
    <row r="667" ht="15.75" customHeight="1">
      <c r="A667" s="6"/>
      <c r="B667" s="73"/>
    </row>
    <row r="668" ht="15.75" customHeight="1">
      <c r="A668" s="6"/>
      <c r="B668" s="73"/>
    </row>
    <row r="669" ht="15.75" customHeight="1">
      <c r="A669" s="6"/>
      <c r="B669" s="73"/>
    </row>
    <row r="670" ht="15.75" customHeight="1">
      <c r="A670" s="6"/>
      <c r="B670" s="73"/>
    </row>
    <row r="671" ht="15.75" customHeight="1">
      <c r="A671" s="6"/>
      <c r="B671" s="73"/>
    </row>
    <row r="672" ht="15.75" customHeight="1">
      <c r="A672" s="6"/>
      <c r="B672" s="73"/>
    </row>
    <row r="673" ht="15.75" customHeight="1">
      <c r="A673" s="6"/>
      <c r="B673" s="73"/>
    </row>
    <row r="674" ht="15.75" customHeight="1">
      <c r="A674" s="6"/>
      <c r="B674" s="73"/>
    </row>
    <row r="675" ht="15.75" customHeight="1">
      <c r="A675" s="6"/>
      <c r="B675" s="73"/>
    </row>
    <row r="676" ht="15.75" customHeight="1">
      <c r="A676" s="6"/>
      <c r="B676" s="73"/>
    </row>
    <row r="677" ht="15.75" customHeight="1">
      <c r="A677" s="6"/>
      <c r="B677" s="73"/>
    </row>
    <row r="678" ht="15.75" customHeight="1">
      <c r="A678" s="6"/>
      <c r="B678" s="73"/>
    </row>
    <row r="679" ht="15.75" customHeight="1">
      <c r="A679" s="6"/>
      <c r="B679" s="73"/>
    </row>
    <row r="680" ht="15.75" customHeight="1">
      <c r="A680" s="6"/>
      <c r="B680" s="73"/>
    </row>
    <row r="681" ht="15.75" customHeight="1">
      <c r="A681" s="6"/>
      <c r="B681" s="73"/>
    </row>
    <row r="682" ht="15.75" customHeight="1">
      <c r="A682" s="6"/>
      <c r="B682" s="73"/>
    </row>
    <row r="683" ht="15.75" customHeight="1">
      <c r="A683" s="6"/>
      <c r="B683" s="73"/>
    </row>
    <row r="684" ht="15.75" customHeight="1">
      <c r="A684" s="6"/>
      <c r="B684" s="73"/>
    </row>
    <row r="685" ht="15.75" customHeight="1">
      <c r="A685" s="6"/>
      <c r="B685" s="73"/>
    </row>
    <row r="686" ht="15.75" customHeight="1">
      <c r="A686" s="6"/>
      <c r="B686" s="73"/>
    </row>
    <row r="687" ht="15.75" customHeight="1">
      <c r="A687" s="6"/>
      <c r="B687" s="73"/>
    </row>
    <row r="688" ht="15.75" customHeight="1">
      <c r="A688" s="6"/>
      <c r="B688" s="73"/>
    </row>
    <row r="689" ht="15.75" customHeight="1">
      <c r="A689" s="6"/>
      <c r="B689" s="73"/>
    </row>
    <row r="690" ht="15.75" customHeight="1">
      <c r="A690" s="6"/>
      <c r="B690" s="73"/>
    </row>
    <row r="691" ht="15.75" customHeight="1">
      <c r="A691" s="6"/>
      <c r="B691" s="73"/>
    </row>
    <row r="692" ht="15.75" customHeight="1">
      <c r="A692" s="6"/>
      <c r="B692" s="73"/>
    </row>
    <row r="693" ht="15.75" customHeight="1">
      <c r="A693" s="6"/>
      <c r="B693" s="73"/>
    </row>
    <row r="694" ht="15.75" customHeight="1">
      <c r="A694" s="6"/>
      <c r="B694" s="73"/>
    </row>
    <row r="695" ht="15.75" customHeight="1">
      <c r="A695" s="6"/>
      <c r="B695" s="73"/>
    </row>
    <row r="696" ht="15.75" customHeight="1">
      <c r="A696" s="6"/>
      <c r="B696" s="73"/>
    </row>
    <row r="697" ht="15.75" customHeight="1">
      <c r="A697" s="6"/>
      <c r="B697" s="73"/>
    </row>
    <row r="698" ht="15.75" customHeight="1">
      <c r="A698" s="6"/>
      <c r="B698" s="73"/>
    </row>
    <row r="699" ht="15.75" customHeight="1">
      <c r="A699" s="6"/>
      <c r="B699" s="73"/>
    </row>
    <row r="700" ht="15.75" customHeight="1">
      <c r="A700" s="6"/>
      <c r="B700" s="73"/>
    </row>
    <row r="701" ht="15.75" customHeight="1">
      <c r="A701" s="6"/>
      <c r="B701" s="73"/>
    </row>
    <row r="702" ht="15.75" customHeight="1">
      <c r="A702" s="6"/>
      <c r="B702" s="73"/>
    </row>
    <row r="703" ht="15.75" customHeight="1">
      <c r="A703" s="6"/>
      <c r="B703" s="73"/>
    </row>
    <row r="704" ht="15.75" customHeight="1">
      <c r="A704" s="6"/>
      <c r="B704" s="73"/>
    </row>
    <row r="705" ht="15.75" customHeight="1">
      <c r="A705" s="6"/>
      <c r="B705" s="73"/>
    </row>
    <row r="706" ht="15.75" customHeight="1">
      <c r="A706" s="6"/>
      <c r="B706" s="73"/>
    </row>
    <row r="707" ht="15.75" customHeight="1">
      <c r="A707" s="6"/>
      <c r="B707" s="73"/>
    </row>
    <row r="708" ht="15.75" customHeight="1">
      <c r="A708" s="6"/>
      <c r="B708" s="73"/>
    </row>
    <row r="709" ht="15.75" customHeight="1">
      <c r="A709" s="6"/>
      <c r="B709" s="73"/>
    </row>
    <row r="710" ht="15.75" customHeight="1">
      <c r="A710" s="6"/>
      <c r="B710" s="73"/>
    </row>
    <row r="711" ht="15.75" customHeight="1">
      <c r="A711" s="6"/>
      <c r="B711" s="73"/>
    </row>
    <row r="712" ht="15.75" customHeight="1">
      <c r="A712" s="6"/>
      <c r="B712" s="73"/>
    </row>
    <row r="713" ht="15.75" customHeight="1">
      <c r="A713" s="6"/>
      <c r="B713" s="73"/>
    </row>
    <row r="714" ht="15.75" customHeight="1">
      <c r="A714" s="6"/>
      <c r="B714" s="73"/>
    </row>
    <row r="715" ht="15.75" customHeight="1">
      <c r="A715" s="6"/>
      <c r="B715" s="73"/>
    </row>
    <row r="716" ht="15.75" customHeight="1">
      <c r="A716" s="6"/>
      <c r="B716" s="73"/>
    </row>
    <row r="717" ht="15.75" customHeight="1">
      <c r="A717" s="6"/>
      <c r="B717" s="73"/>
    </row>
    <row r="718" ht="15.75" customHeight="1">
      <c r="A718" s="6"/>
      <c r="B718" s="73"/>
    </row>
    <row r="719" ht="15.75" customHeight="1">
      <c r="A719" s="6"/>
      <c r="B719" s="73"/>
    </row>
    <row r="720" ht="15.75" customHeight="1">
      <c r="A720" s="6"/>
      <c r="B720" s="73"/>
    </row>
    <row r="721" ht="15.75" customHeight="1">
      <c r="A721" s="6"/>
      <c r="B721" s="73"/>
    </row>
    <row r="722" ht="15.75" customHeight="1">
      <c r="A722" s="6"/>
      <c r="B722" s="73"/>
    </row>
    <row r="723" ht="15.75" customHeight="1">
      <c r="A723" s="6"/>
      <c r="B723" s="73"/>
    </row>
    <row r="724" ht="15.75" customHeight="1">
      <c r="A724" s="6"/>
      <c r="B724" s="73"/>
    </row>
    <row r="725" ht="15.75" customHeight="1">
      <c r="A725" s="6"/>
      <c r="B725" s="73"/>
    </row>
    <row r="726" ht="15.75" customHeight="1">
      <c r="A726" s="6"/>
      <c r="B726" s="73"/>
    </row>
    <row r="727" ht="15.75" customHeight="1">
      <c r="A727" s="6"/>
      <c r="B727" s="73"/>
    </row>
    <row r="728" ht="15.75" customHeight="1">
      <c r="A728" s="6"/>
      <c r="B728" s="73"/>
    </row>
    <row r="729" ht="15.75" customHeight="1">
      <c r="A729" s="6"/>
      <c r="B729" s="73"/>
    </row>
    <row r="730" ht="15.75" customHeight="1">
      <c r="A730" s="6"/>
      <c r="B730" s="73"/>
    </row>
    <row r="731" ht="15.75" customHeight="1">
      <c r="A731" s="6"/>
      <c r="B731" s="73"/>
    </row>
    <row r="732" ht="15.75" customHeight="1">
      <c r="A732" s="6"/>
      <c r="B732" s="73"/>
    </row>
    <row r="733" ht="15.75" customHeight="1">
      <c r="A733" s="6"/>
      <c r="B733" s="73"/>
    </row>
    <row r="734" ht="15.75" customHeight="1">
      <c r="A734" s="6"/>
      <c r="B734" s="73"/>
    </row>
    <row r="735" ht="15.75" customHeight="1">
      <c r="A735" s="6"/>
      <c r="B735" s="73"/>
    </row>
    <row r="736" ht="15.75" customHeight="1">
      <c r="A736" s="6"/>
      <c r="B736" s="73"/>
    </row>
    <row r="737" ht="15.75" customHeight="1">
      <c r="A737" s="6"/>
      <c r="B737" s="73"/>
    </row>
    <row r="738" ht="15.75" customHeight="1">
      <c r="A738" s="6"/>
      <c r="B738" s="73"/>
    </row>
    <row r="739" ht="15.75" customHeight="1">
      <c r="A739" s="6"/>
      <c r="B739" s="73"/>
    </row>
    <row r="740" ht="15.75" customHeight="1">
      <c r="A740" s="6"/>
      <c r="B740" s="73"/>
    </row>
    <row r="741" ht="15.75" customHeight="1">
      <c r="A741" s="6"/>
      <c r="B741" s="73"/>
    </row>
    <row r="742" ht="15.75" customHeight="1">
      <c r="A742" s="6"/>
      <c r="B742" s="73"/>
    </row>
    <row r="743" ht="15.75" customHeight="1">
      <c r="A743" s="6"/>
      <c r="B743" s="73"/>
    </row>
    <row r="744" ht="15.75" customHeight="1">
      <c r="A744" s="6"/>
      <c r="B744" s="73"/>
    </row>
    <row r="745" ht="15.75" customHeight="1">
      <c r="A745" s="6"/>
      <c r="B745" s="73"/>
    </row>
    <row r="746" ht="15.75" customHeight="1">
      <c r="A746" s="6"/>
      <c r="B746" s="73"/>
    </row>
    <row r="747" ht="15.75" customHeight="1">
      <c r="A747" s="6"/>
      <c r="B747" s="73"/>
    </row>
    <row r="748" ht="15.75" customHeight="1">
      <c r="A748" s="6"/>
      <c r="B748" s="73"/>
    </row>
    <row r="749" ht="15.75" customHeight="1">
      <c r="A749" s="6"/>
      <c r="B749" s="73"/>
    </row>
    <row r="750" ht="15.75" customHeight="1">
      <c r="A750" s="6"/>
      <c r="B750" s="73"/>
    </row>
    <row r="751" ht="15.75" customHeight="1">
      <c r="A751" s="6"/>
      <c r="B751" s="73"/>
    </row>
    <row r="752" ht="15.75" customHeight="1">
      <c r="A752" s="6"/>
      <c r="B752" s="73"/>
    </row>
    <row r="753" ht="15.75" customHeight="1">
      <c r="A753" s="6"/>
      <c r="B753" s="73"/>
    </row>
    <row r="754" ht="15.75" customHeight="1">
      <c r="A754" s="6"/>
      <c r="B754" s="73"/>
    </row>
    <row r="755" ht="15.75" customHeight="1">
      <c r="A755" s="6"/>
      <c r="B755" s="73"/>
    </row>
    <row r="756" ht="15.75" customHeight="1">
      <c r="A756" s="6"/>
      <c r="B756" s="73"/>
    </row>
    <row r="757" ht="15.75" customHeight="1">
      <c r="A757" s="6"/>
      <c r="B757" s="73"/>
    </row>
    <row r="758" ht="15.75" customHeight="1">
      <c r="A758" s="6"/>
      <c r="B758" s="73"/>
    </row>
    <row r="759" ht="15.75" customHeight="1">
      <c r="A759" s="6"/>
      <c r="B759" s="73"/>
    </row>
    <row r="760" ht="15.75" customHeight="1">
      <c r="A760" s="6"/>
      <c r="B760" s="73"/>
    </row>
    <row r="761" ht="15.75" customHeight="1">
      <c r="A761" s="6"/>
      <c r="B761" s="73"/>
    </row>
    <row r="762" ht="15.75" customHeight="1">
      <c r="A762" s="6"/>
      <c r="B762" s="73"/>
    </row>
    <row r="763" ht="15.75" customHeight="1">
      <c r="A763" s="6"/>
      <c r="B763" s="73"/>
    </row>
    <row r="764" ht="15.75" customHeight="1">
      <c r="A764" s="6"/>
      <c r="B764" s="73"/>
    </row>
    <row r="765" ht="15.75" customHeight="1">
      <c r="A765" s="6"/>
      <c r="B765" s="73"/>
    </row>
    <row r="766" ht="15.75" customHeight="1">
      <c r="A766" s="6"/>
      <c r="B766" s="73"/>
    </row>
    <row r="767" ht="15.75" customHeight="1">
      <c r="A767" s="6"/>
      <c r="B767" s="73"/>
    </row>
    <row r="768" ht="15.75" customHeight="1">
      <c r="A768" s="6"/>
      <c r="B768" s="73"/>
    </row>
    <row r="769" ht="15.75" customHeight="1">
      <c r="A769" s="6"/>
      <c r="B769" s="73"/>
    </row>
    <row r="770" ht="15.75" customHeight="1">
      <c r="A770" s="6"/>
      <c r="B770" s="73"/>
    </row>
    <row r="771" ht="15.75" customHeight="1">
      <c r="A771" s="6"/>
      <c r="B771" s="73"/>
    </row>
    <row r="772" ht="15.75" customHeight="1">
      <c r="A772" s="6"/>
      <c r="B772" s="73"/>
    </row>
    <row r="773" ht="15.75" customHeight="1">
      <c r="A773" s="6"/>
      <c r="B773" s="73"/>
    </row>
    <row r="774" ht="15.75" customHeight="1">
      <c r="A774" s="6"/>
      <c r="B774" s="73"/>
    </row>
    <row r="775" ht="15.75" customHeight="1">
      <c r="A775" s="6"/>
      <c r="B775" s="73"/>
    </row>
    <row r="776" ht="15.75" customHeight="1">
      <c r="A776" s="6"/>
      <c r="B776" s="73"/>
    </row>
    <row r="777" ht="15.75" customHeight="1">
      <c r="A777" s="6"/>
      <c r="B777" s="73"/>
    </row>
    <row r="778" ht="15.75" customHeight="1">
      <c r="A778" s="6"/>
      <c r="B778" s="73"/>
    </row>
    <row r="779" ht="15.75" customHeight="1">
      <c r="A779" s="6"/>
      <c r="B779" s="73"/>
    </row>
    <row r="780" ht="15.75" customHeight="1">
      <c r="A780" s="6"/>
      <c r="B780" s="73"/>
    </row>
    <row r="781" ht="15.75" customHeight="1">
      <c r="A781" s="6"/>
      <c r="B781" s="73"/>
    </row>
    <row r="782" ht="15.75" customHeight="1">
      <c r="A782" s="6"/>
      <c r="B782" s="73"/>
    </row>
    <row r="783" ht="15.75" customHeight="1">
      <c r="A783" s="6"/>
      <c r="B783" s="73"/>
    </row>
    <row r="784" ht="15.75" customHeight="1">
      <c r="A784" s="6"/>
      <c r="B784" s="73"/>
    </row>
    <row r="785" ht="15.75" customHeight="1">
      <c r="A785" s="6"/>
      <c r="B785" s="73"/>
    </row>
    <row r="786" ht="15.75" customHeight="1">
      <c r="A786" s="6"/>
      <c r="B786" s="73"/>
    </row>
    <row r="787" ht="15.75" customHeight="1">
      <c r="A787" s="6"/>
      <c r="B787" s="73"/>
    </row>
    <row r="788" ht="15.75" customHeight="1">
      <c r="A788" s="6"/>
      <c r="B788" s="73"/>
    </row>
    <row r="789" ht="15.75" customHeight="1">
      <c r="A789" s="6"/>
      <c r="B789" s="73"/>
    </row>
    <row r="790" ht="15.75" customHeight="1">
      <c r="A790" s="6"/>
      <c r="B790" s="73"/>
    </row>
    <row r="791" ht="15.75" customHeight="1">
      <c r="A791" s="6"/>
      <c r="B791" s="73"/>
    </row>
    <row r="792" ht="15.75" customHeight="1">
      <c r="A792" s="6"/>
      <c r="B792" s="73"/>
    </row>
    <row r="793" ht="15.75" customHeight="1">
      <c r="A793" s="6"/>
      <c r="B793" s="73"/>
    </row>
    <row r="794" ht="15.75" customHeight="1">
      <c r="A794" s="6"/>
      <c r="B794" s="73"/>
    </row>
    <row r="795" ht="15.75" customHeight="1">
      <c r="A795" s="6"/>
      <c r="B795" s="73"/>
    </row>
    <row r="796" ht="15.75" customHeight="1">
      <c r="A796" s="6"/>
      <c r="B796" s="73"/>
    </row>
    <row r="797" ht="15.75" customHeight="1">
      <c r="A797" s="6"/>
      <c r="B797" s="73"/>
    </row>
    <row r="798" ht="15.75" customHeight="1">
      <c r="A798" s="6"/>
      <c r="B798" s="73"/>
    </row>
    <row r="799" ht="15.75" customHeight="1">
      <c r="A799" s="6"/>
      <c r="B799" s="73"/>
    </row>
    <row r="800" ht="15.75" customHeight="1">
      <c r="A800" s="6"/>
      <c r="B800" s="73"/>
    </row>
    <row r="801" ht="15.75" customHeight="1">
      <c r="A801" s="6"/>
      <c r="B801" s="73"/>
    </row>
    <row r="802" ht="15.75" customHeight="1">
      <c r="A802" s="6"/>
      <c r="B802" s="73"/>
    </row>
    <row r="803" ht="15.75" customHeight="1">
      <c r="A803" s="6"/>
      <c r="B803" s="73"/>
    </row>
    <row r="804" ht="15.75" customHeight="1">
      <c r="A804" s="6"/>
      <c r="B804" s="73"/>
    </row>
    <row r="805" ht="15.75" customHeight="1">
      <c r="A805" s="6"/>
      <c r="B805" s="73"/>
    </row>
    <row r="806" ht="15.75" customHeight="1">
      <c r="A806" s="6"/>
      <c r="B806" s="73"/>
    </row>
    <row r="807" ht="15.75" customHeight="1">
      <c r="A807" s="6"/>
      <c r="B807" s="73"/>
    </row>
    <row r="808" ht="15.75" customHeight="1">
      <c r="A808" s="6"/>
      <c r="B808" s="73"/>
    </row>
    <row r="809" ht="15.75" customHeight="1">
      <c r="A809" s="6"/>
      <c r="B809" s="73"/>
    </row>
    <row r="810" ht="15.75" customHeight="1">
      <c r="A810" s="6"/>
      <c r="B810" s="73"/>
    </row>
    <row r="811" ht="15.75" customHeight="1">
      <c r="A811" s="6"/>
      <c r="B811" s="73"/>
    </row>
    <row r="812" ht="15.75" customHeight="1">
      <c r="A812" s="6"/>
      <c r="B812" s="73"/>
    </row>
    <row r="813" ht="15.75" customHeight="1">
      <c r="A813" s="6"/>
      <c r="B813" s="73"/>
    </row>
    <row r="814" ht="15.75" customHeight="1">
      <c r="A814" s="6"/>
      <c r="B814" s="73"/>
    </row>
    <row r="815" ht="15.75" customHeight="1">
      <c r="A815" s="6"/>
      <c r="B815" s="73"/>
    </row>
    <row r="816" ht="15.75" customHeight="1">
      <c r="A816" s="6"/>
      <c r="B816" s="73"/>
    </row>
    <row r="817" ht="15.75" customHeight="1">
      <c r="A817" s="6"/>
      <c r="B817" s="73"/>
    </row>
    <row r="818" ht="15.75" customHeight="1">
      <c r="A818" s="6"/>
      <c r="B818" s="73"/>
    </row>
    <row r="819" ht="15.75" customHeight="1">
      <c r="A819" s="6"/>
      <c r="B819" s="73"/>
    </row>
    <row r="820" ht="15.75" customHeight="1">
      <c r="A820" s="6"/>
      <c r="B820" s="73"/>
    </row>
    <row r="821" ht="15.75" customHeight="1">
      <c r="A821" s="6"/>
      <c r="B821" s="73"/>
    </row>
    <row r="822" ht="15.75" customHeight="1">
      <c r="A822" s="6"/>
      <c r="B822" s="73"/>
    </row>
    <row r="823" ht="15.75" customHeight="1">
      <c r="A823" s="6"/>
      <c r="B823" s="73"/>
    </row>
    <row r="824" ht="15.75" customHeight="1">
      <c r="A824" s="6"/>
      <c r="B824" s="73"/>
    </row>
    <row r="825" ht="15.75" customHeight="1">
      <c r="A825" s="6"/>
      <c r="B825" s="73"/>
    </row>
    <row r="826" ht="15.75" customHeight="1">
      <c r="A826" s="6"/>
      <c r="B826" s="73"/>
    </row>
    <row r="827" ht="15.75" customHeight="1">
      <c r="A827" s="6"/>
      <c r="B827" s="73"/>
    </row>
    <row r="828" ht="15.75" customHeight="1">
      <c r="A828" s="6"/>
      <c r="B828" s="73"/>
    </row>
    <row r="829" ht="15.75" customHeight="1">
      <c r="A829" s="6"/>
      <c r="B829" s="73"/>
    </row>
    <row r="830" ht="15.75" customHeight="1">
      <c r="A830" s="6"/>
      <c r="B830" s="73"/>
    </row>
    <row r="831" ht="15.75" customHeight="1">
      <c r="A831" s="6"/>
      <c r="B831" s="73"/>
    </row>
    <row r="832" ht="15.75" customHeight="1">
      <c r="A832" s="6"/>
      <c r="B832" s="73"/>
    </row>
    <row r="833" ht="15.75" customHeight="1">
      <c r="A833" s="6"/>
      <c r="B833" s="73"/>
    </row>
    <row r="834" ht="15.75" customHeight="1">
      <c r="A834" s="6"/>
      <c r="B834" s="73"/>
    </row>
    <row r="835" ht="15.75" customHeight="1">
      <c r="A835" s="6"/>
      <c r="B835" s="73"/>
    </row>
    <row r="836" ht="15.75" customHeight="1">
      <c r="A836" s="6"/>
      <c r="B836" s="73"/>
    </row>
    <row r="837" ht="15.75" customHeight="1">
      <c r="A837" s="6"/>
      <c r="B837" s="73"/>
    </row>
    <row r="838" ht="15.75" customHeight="1">
      <c r="A838" s="6"/>
      <c r="B838" s="73"/>
    </row>
    <row r="839" ht="15.75" customHeight="1">
      <c r="A839" s="6"/>
      <c r="B839" s="73"/>
    </row>
    <row r="840" ht="15.75" customHeight="1">
      <c r="A840" s="6"/>
      <c r="B840" s="73"/>
    </row>
    <row r="841" ht="15.75" customHeight="1">
      <c r="A841" s="6"/>
      <c r="B841" s="73"/>
    </row>
    <row r="842" ht="15.75" customHeight="1">
      <c r="A842" s="6"/>
      <c r="B842" s="73"/>
    </row>
    <row r="843" ht="15.75" customHeight="1">
      <c r="A843" s="6"/>
      <c r="B843" s="73"/>
    </row>
    <row r="844" ht="15.75" customHeight="1">
      <c r="A844" s="6"/>
      <c r="B844" s="73"/>
    </row>
    <row r="845" ht="15.75" customHeight="1">
      <c r="A845" s="6"/>
      <c r="B845" s="73"/>
    </row>
    <row r="846" ht="15.75" customHeight="1">
      <c r="A846" s="6"/>
      <c r="B846" s="73"/>
    </row>
    <row r="847" ht="15.75" customHeight="1">
      <c r="A847" s="6"/>
      <c r="B847" s="73"/>
    </row>
    <row r="848" ht="15.75" customHeight="1">
      <c r="A848" s="6"/>
      <c r="B848" s="73"/>
    </row>
    <row r="849" ht="15.75" customHeight="1">
      <c r="A849" s="6"/>
      <c r="B849" s="73"/>
    </row>
    <row r="850" ht="15.75" customHeight="1">
      <c r="A850" s="6"/>
      <c r="B850" s="73"/>
    </row>
    <row r="851" ht="15.75" customHeight="1">
      <c r="A851" s="6"/>
      <c r="B851" s="73"/>
    </row>
    <row r="852" ht="15.75" customHeight="1">
      <c r="A852" s="6"/>
      <c r="B852" s="73"/>
    </row>
    <row r="853" ht="15.75" customHeight="1">
      <c r="A853" s="6"/>
      <c r="B853" s="73"/>
    </row>
    <row r="854" ht="15.75" customHeight="1">
      <c r="A854" s="6"/>
      <c r="B854" s="73"/>
    </row>
    <row r="855" ht="15.75" customHeight="1">
      <c r="A855" s="6"/>
      <c r="B855" s="73"/>
    </row>
    <row r="856" ht="15.75" customHeight="1">
      <c r="A856" s="6"/>
      <c r="B856" s="73"/>
    </row>
    <row r="857" ht="15.75" customHeight="1">
      <c r="A857" s="6"/>
      <c r="B857" s="73"/>
    </row>
    <row r="858" ht="15.75" customHeight="1">
      <c r="A858" s="6"/>
      <c r="B858" s="73"/>
    </row>
    <row r="859" ht="15.75" customHeight="1">
      <c r="A859" s="6"/>
      <c r="B859" s="73"/>
    </row>
    <row r="860" ht="15.75" customHeight="1">
      <c r="A860" s="6"/>
      <c r="B860" s="73"/>
    </row>
    <row r="861" ht="15.75" customHeight="1">
      <c r="A861" s="6"/>
      <c r="B861" s="73"/>
    </row>
    <row r="862" ht="15.75" customHeight="1">
      <c r="A862" s="6"/>
      <c r="B862" s="73"/>
    </row>
    <row r="863" ht="15.75" customHeight="1">
      <c r="A863" s="6"/>
      <c r="B863" s="73"/>
    </row>
    <row r="864" ht="15.75" customHeight="1">
      <c r="A864" s="6"/>
      <c r="B864" s="73"/>
    </row>
    <row r="865" ht="15.75" customHeight="1">
      <c r="A865" s="6"/>
      <c r="B865" s="73"/>
    </row>
    <row r="866" ht="15.75" customHeight="1">
      <c r="A866" s="6"/>
      <c r="B866" s="73"/>
    </row>
    <row r="867" ht="15.75" customHeight="1">
      <c r="A867" s="6"/>
      <c r="B867" s="73"/>
    </row>
    <row r="868" ht="15.75" customHeight="1">
      <c r="A868" s="6"/>
      <c r="B868" s="73"/>
    </row>
    <row r="869" ht="15.75" customHeight="1">
      <c r="A869" s="6"/>
      <c r="B869" s="73"/>
    </row>
    <row r="870" ht="15.75" customHeight="1">
      <c r="A870" s="6"/>
      <c r="B870" s="73"/>
    </row>
    <row r="871" ht="15.75" customHeight="1">
      <c r="A871" s="6"/>
      <c r="B871" s="73"/>
    </row>
    <row r="872" ht="15.75" customHeight="1">
      <c r="A872" s="6"/>
      <c r="B872" s="73"/>
    </row>
    <row r="873" ht="15.75" customHeight="1">
      <c r="A873" s="6"/>
      <c r="B873" s="73"/>
    </row>
    <row r="874" ht="15.75" customHeight="1">
      <c r="A874" s="6"/>
      <c r="B874" s="73"/>
    </row>
    <row r="875" ht="15.75" customHeight="1">
      <c r="A875" s="6"/>
      <c r="B875" s="73"/>
    </row>
    <row r="876" ht="15.75" customHeight="1">
      <c r="A876" s="6"/>
      <c r="B876" s="73"/>
    </row>
    <row r="877" ht="15.75" customHeight="1">
      <c r="A877" s="6"/>
      <c r="B877" s="73"/>
    </row>
    <row r="878" ht="15.75" customHeight="1">
      <c r="A878" s="6"/>
      <c r="B878" s="73"/>
    </row>
    <row r="879" ht="15.75" customHeight="1">
      <c r="A879" s="6"/>
      <c r="B879" s="73"/>
    </row>
    <row r="880" ht="15.75" customHeight="1">
      <c r="A880" s="6"/>
      <c r="B880" s="73"/>
    </row>
    <row r="881" ht="15.75" customHeight="1">
      <c r="A881" s="6"/>
      <c r="B881" s="73"/>
    </row>
    <row r="882" ht="15.75" customHeight="1">
      <c r="A882" s="6"/>
      <c r="B882" s="73"/>
    </row>
    <row r="883" ht="15.75" customHeight="1">
      <c r="A883" s="6"/>
      <c r="B883" s="73"/>
    </row>
    <row r="884" ht="15.75" customHeight="1">
      <c r="A884" s="6"/>
      <c r="B884" s="73"/>
    </row>
    <row r="885" ht="15.75" customHeight="1">
      <c r="A885" s="6"/>
      <c r="B885" s="73"/>
    </row>
    <row r="886" ht="15.75" customHeight="1">
      <c r="A886" s="6"/>
      <c r="B886" s="73"/>
    </row>
    <row r="887" ht="15.75" customHeight="1">
      <c r="A887" s="6"/>
      <c r="B887" s="73"/>
    </row>
    <row r="888" ht="15.75" customHeight="1">
      <c r="A888" s="6"/>
      <c r="B888" s="73"/>
    </row>
    <row r="889" ht="15.75" customHeight="1">
      <c r="A889" s="6"/>
      <c r="B889" s="73"/>
    </row>
    <row r="890" ht="15.75" customHeight="1">
      <c r="A890" s="6"/>
      <c r="B890" s="73"/>
    </row>
    <row r="891" ht="15.75" customHeight="1">
      <c r="A891" s="6"/>
      <c r="B891" s="73"/>
    </row>
    <row r="892" ht="15.75" customHeight="1">
      <c r="A892" s="6"/>
      <c r="B892" s="73"/>
    </row>
    <row r="893" ht="15.75" customHeight="1">
      <c r="A893" s="6"/>
      <c r="B893" s="73"/>
    </row>
    <row r="894" ht="15.75" customHeight="1">
      <c r="A894" s="6"/>
      <c r="B894" s="73"/>
    </row>
    <row r="895" ht="15.75" customHeight="1">
      <c r="A895" s="6"/>
      <c r="B895" s="73"/>
    </row>
    <row r="896" ht="15.75" customHeight="1">
      <c r="A896" s="6"/>
      <c r="B896" s="73"/>
    </row>
    <row r="897" ht="15.75" customHeight="1">
      <c r="A897" s="6"/>
      <c r="B897" s="73"/>
    </row>
    <row r="898" ht="15.75" customHeight="1">
      <c r="A898" s="6"/>
      <c r="B898" s="73"/>
    </row>
    <row r="899" ht="15.75" customHeight="1">
      <c r="A899" s="6"/>
      <c r="B899" s="73"/>
    </row>
    <row r="900" ht="15.75" customHeight="1">
      <c r="A900" s="6"/>
      <c r="B900" s="73"/>
    </row>
    <row r="901" ht="15.75" customHeight="1">
      <c r="A901" s="6"/>
      <c r="B901" s="73"/>
    </row>
    <row r="902" ht="15.75" customHeight="1">
      <c r="A902" s="6"/>
      <c r="B902" s="73"/>
    </row>
    <row r="903" ht="15.75" customHeight="1">
      <c r="A903" s="6"/>
      <c r="B903" s="73"/>
    </row>
    <row r="904" ht="15.75" customHeight="1">
      <c r="A904" s="6"/>
      <c r="B904" s="73"/>
    </row>
    <row r="905" ht="15.75" customHeight="1">
      <c r="A905" s="6"/>
      <c r="B905" s="73"/>
    </row>
    <row r="906" ht="15.75" customHeight="1">
      <c r="A906" s="6"/>
      <c r="B906" s="73"/>
    </row>
    <row r="907" ht="15.75" customHeight="1">
      <c r="A907" s="6"/>
      <c r="B907" s="73"/>
    </row>
    <row r="908" ht="15.75" customHeight="1">
      <c r="A908" s="6"/>
      <c r="B908" s="73"/>
    </row>
    <row r="909" ht="15.75" customHeight="1">
      <c r="A909" s="6"/>
      <c r="B909" s="73"/>
    </row>
    <row r="910" ht="15.75" customHeight="1">
      <c r="A910" s="6"/>
      <c r="B910" s="73"/>
    </row>
    <row r="911" ht="15.75" customHeight="1">
      <c r="A911" s="6"/>
      <c r="B911" s="73"/>
    </row>
    <row r="912" ht="15.75" customHeight="1">
      <c r="A912" s="6"/>
      <c r="B912" s="73"/>
    </row>
    <row r="913" ht="15.75" customHeight="1">
      <c r="A913" s="6"/>
      <c r="B913" s="73"/>
    </row>
    <row r="914" ht="15.75" customHeight="1">
      <c r="A914" s="6"/>
      <c r="B914" s="73"/>
    </row>
    <row r="915" ht="15.75" customHeight="1">
      <c r="A915" s="6"/>
      <c r="B915" s="73"/>
    </row>
    <row r="916" ht="15.75" customHeight="1">
      <c r="A916" s="6"/>
      <c r="B916" s="73"/>
    </row>
    <row r="917" ht="15.75" customHeight="1">
      <c r="A917" s="6"/>
      <c r="B917" s="73"/>
    </row>
    <row r="918" ht="15.75" customHeight="1">
      <c r="A918" s="6"/>
      <c r="B918" s="73"/>
    </row>
    <row r="919" ht="15.75" customHeight="1">
      <c r="A919" s="6"/>
      <c r="B919" s="73"/>
    </row>
    <row r="920" ht="15.75" customHeight="1">
      <c r="A920" s="6"/>
      <c r="B920" s="73"/>
    </row>
    <row r="921" ht="15.75" customHeight="1">
      <c r="A921" s="6"/>
      <c r="B921" s="73"/>
    </row>
    <row r="922" ht="15.75" customHeight="1">
      <c r="A922" s="6"/>
      <c r="B922" s="73"/>
    </row>
    <row r="923" ht="15.75" customHeight="1">
      <c r="A923" s="6"/>
      <c r="B923" s="73"/>
    </row>
    <row r="924" ht="15.75" customHeight="1">
      <c r="A924" s="6"/>
      <c r="B924" s="73"/>
    </row>
    <row r="925" ht="15.75" customHeight="1">
      <c r="A925" s="6"/>
      <c r="B925" s="73"/>
    </row>
    <row r="926" ht="15.75" customHeight="1">
      <c r="A926" s="6"/>
      <c r="B926" s="73"/>
    </row>
    <row r="927" ht="15.75" customHeight="1">
      <c r="A927" s="6"/>
      <c r="B927" s="73"/>
    </row>
    <row r="928" ht="15.75" customHeight="1">
      <c r="A928" s="6"/>
      <c r="B928" s="73"/>
    </row>
    <row r="929" ht="15.75" customHeight="1">
      <c r="A929" s="6"/>
      <c r="B929" s="73"/>
    </row>
    <row r="930" ht="15.75" customHeight="1">
      <c r="A930" s="6"/>
      <c r="B930" s="73"/>
    </row>
    <row r="931" ht="15.75" customHeight="1">
      <c r="A931" s="6"/>
      <c r="B931" s="73"/>
    </row>
    <row r="932" ht="15.75" customHeight="1">
      <c r="A932" s="6"/>
      <c r="B932" s="73"/>
    </row>
    <row r="933" ht="15.75" customHeight="1">
      <c r="A933" s="6"/>
      <c r="B933" s="73"/>
    </row>
    <row r="934" ht="15.75" customHeight="1">
      <c r="A934" s="6"/>
      <c r="B934" s="73"/>
    </row>
    <row r="935" ht="15.75" customHeight="1">
      <c r="A935" s="6"/>
      <c r="B935" s="73"/>
    </row>
    <row r="936" ht="15.75" customHeight="1">
      <c r="A936" s="6"/>
      <c r="B936" s="73"/>
    </row>
    <row r="937" ht="15.75" customHeight="1">
      <c r="A937" s="6"/>
      <c r="B937" s="73"/>
    </row>
    <row r="938" ht="15.75" customHeight="1">
      <c r="A938" s="6"/>
      <c r="B938" s="73"/>
    </row>
    <row r="939" ht="15.75" customHeight="1">
      <c r="A939" s="6"/>
      <c r="B939" s="73"/>
    </row>
    <row r="940" ht="15.75" customHeight="1">
      <c r="A940" s="6"/>
      <c r="B940" s="73"/>
    </row>
    <row r="941" ht="15.75" customHeight="1">
      <c r="A941" s="6"/>
      <c r="B941" s="73"/>
    </row>
    <row r="942" ht="15.75" customHeight="1">
      <c r="A942" s="6"/>
      <c r="B942" s="73"/>
    </row>
    <row r="943" ht="15.75" customHeight="1">
      <c r="A943" s="6"/>
      <c r="B943" s="73"/>
    </row>
    <row r="944" ht="15.75" customHeight="1">
      <c r="A944" s="6"/>
      <c r="B944" s="73"/>
    </row>
    <row r="945" ht="15.75" customHeight="1">
      <c r="A945" s="6"/>
      <c r="B945" s="73"/>
    </row>
    <row r="946" ht="15.75" customHeight="1">
      <c r="A946" s="6"/>
      <c r="B946" s="73"/>
    </row>
    <row r="947" ht="15.75" customHeight="1">
      <c r="A947" s="6"/>
      <c r="B947" s="73"/>
    </row>
    <row r="948" ht="15.75" customHeight="1">
      <c r="A948" s="6"/>
      <c r="B948" s="73"/>
    </row>
    <row r="949" ht="15.75" customHeight="1">
      <c r="A949" s="6"/>
      <c r="B949" s="73"/>
    </row>
    <row r="950" ht="15.75" customHeight="1">
      <c r="A950" s="6"/>
      <c r="B950" s="73"/>
    </row>
    <row r="951" ht="15.75" customHeight="1">
      <c r="A951" s="6"/>
      <c r="B951" s="73"/>
    </row>
    <row r="952" ht="15.75" customHeight="1">
      <c r="A952" s="6"/>
      <c r="B952" s="73"/>
    </row>
    <row r="953" ht="15.75" customHeight="1">
      <c r="A953" s="6"/>
      <c r="B953" s="73"/>
    </row>
    <row r="954" ht="15.75" customHeight="1">
      <c r="A954" s="6"/>
      <c r="B954" s="73"/>
    </row>
    <row r="955" ht="15.75" customHeight="1">
      <c r="A955" s="6"/>
      <c r="B955" s="73"/>
    </row>
    <row r="956" ht="15.75" customHeight="1">
      <c r="A956" s="6"/>
      <c r="B956" s="73"/>
    </row>
    <row r="957" ht="15.75" customHeight="1">
      <c r="A957" s="6"/>
      <c r="B957" s="73"/>
    </row>
    <row r="958" ht="15.75" customHeight="1">
      <c r="A958" s="6"/>
      <c r="B958" s="73"/>
    </row>
    <row r="959" ht="15.75" customHeight="1">
      <c r="A959" s="6"/>
      <c r="B959" s="73"/>
    </row>
    <row r="960" ht="15.75" customHeight="1">
      <c r="A960" s="6"/>
      <c r="B960" s="73"/>
    </row>
    <row r="961" ht="15.75" customHeight="1">
      <c r="A961" s="6"/>
      <c r="B961" s="73"/>
    </row>
    <row r="962" ht="15.75" customHeight="1">
      <c r="A962" s="6"/>
      <c r="B962" s="73"/>
    </row>
    <row r="963" ht="15.75" customHeight="1">
      <c r="A963" s="6"/>
      <c r="B963" s="73"/>
    </row>
    <row r="964" ht="15.75" customHeight="1">
      <c r="A964" s="6"/>
      <c r="B964" s="73"/>
    </row>
    <row r="965" ht="15.75" customHeight="1">
      <c r="A965" s="6"/>
      <c r="B965" s="73"/>
    </row>
    <row r="966" ht="15.75" customHeight="1">
      <c r="A966" s="6"/>
      <c r="B966" s="73"/>
    </row>
    <row r="967" ht="15.75" customHeight="1">
      <c r="A967" s="6"/>
      <c r="B967" s="73"/>
    </row>
    <row r="968" ht="15.75" customHeight="1">
      <c r="A968" s="6"/>
      <c r="B968" s="73"/>
    </row>
    <row r="969" ht="15.75" customHeight="1">
      <c r="A969" s="6"/>
      <c r="B969" s="73"/>
    </row>
    <row r="970" ht="15.75" customHeight="1">
      <c r="A970" s="6"/>
      <c r="B970" s="73"/>
    </row>
    <row r="971" ht="15.75" customHeight="1">
      <c r="A971" s="6"/>
      <c r="B971" s="73"/>
    </row>
    <row r="972" ht="15.75" customHeight="1">
      <c r="A972" s="6"/>
      <c r="B972" s="73"/>
    </row>
    <row r="973" ht="15.75" customHeight="1">
      <c r="A973" s="6"/>
      <c r="B973" s="73"/>
    </row>
    <row r="974" ht="15.75" customHeight="1">
      <c r="A974" s="6"/>
      <c r="B974" s="73"/>
    </row>
    <row r="975" ht="15.75" customHeight="1">
      <c r="A975" s="6"/>
      <c r="B975" s="73"/>
    </row>
    <row r="976" ht="15.75" customHeight="1">
      <c r="A976" s="6"/>
      <c r="B976" s="73"/>
    </row>
    <row r="977" ht="15.75" customHeight="1">
      <c r="A977" s="6"/>
      <c r="B977" s="73"/>
    </row>
    <row r="978" ht="15.75" customHeight="1">
      <c r="A978" s="6"/>
      <c r="B978" s="73"/>
    </row>
    <row r="979" ht="15.75" customHeight="1">
      <c r="A979" s="6"/>
      <c r="B979" s="73"/>
    </row>
    <row r="980" ht="15.75" customHeight="1">
      <c r="A980" s="6"/>
      <c r="B980" s="73"/>
    </row>
    <row r="981" ht="15.75" customHeight="1">
      <c r="A981" s="6"/>
      <c r="B981" s="73"/>
    </row>
    <row r="982" ht="15.75" customHeight="1">
      <c r="A982" s="6"/>
      <c r="B982" s="73"/>
    </row>
    <row r="983" ht="15.75" customHeight="1">
      <c r="A983" s="6"/>
      <c r="B983" s="73"/>
    </row>
    <row r="984" ht="15.75" customHeight="1">
      <c r="A984" s="6"/>
      <c r="B984" s="73"/>
    </row>
    <row r="985" ht="15.75" customHeight="1">
      <c r="A985" s="6"/>
      <c r="B985" s="73"/>
    </row>
    <row r="986" ht="15.75" customHeight="1">
      <c r="A986" s="6"/>
      <c r="B986" s="73"/>
    </row>
    <row r="987" ht="15.75" customHeight="1">
      <c r="A987" s="6"/>
      <c r="B987" s="73"/>
    </row>
    <row r="988" ht="15.75" customHeight="1">
      <c r="A988" s="6"/>
      <c r="B988" s="73"/>
    </row>
    <row r="989" ht="15.75" customHeight="1">
      <c r="A989" s="6"/>
      <c r="B989" s="73"/>
    </row>
    <row r="990" ht="15.75" customHeight="1">
      <c r="A990" s="6"/>
      <c r="B990" s="73"/>
    </row>
    <row r="991" ht="15.75" customHeight="1">
      <c r="A991" s="6"/>
      <c r="B991" s="73"/>
    </row>
    <row r="992" ht="15.75" customHeight="1">
      <c r="A992" s="6"/>
      <c r="B992" s="73"/>
    </row>
    <row r="993" ht="15.75" customHeight="1">
      <c r="A993" s="6"/>
      <c r="B993" s="73"/>
    </row>
    <row r="994" ht="15.75" customHeight="1">
      <c r="A994" s="6"/>
      <c r="B994" s="73"/>
    </row>
    <row r="995" ht="15.75" customHeight="1">
      <c r="A995" s="6"/>
      <c r="B995" s="73"/>
    </row>
    <row r="996" ht="15.75" customHeight="1">
      <c r="A996" s="6"/>
      <c r="B996" s="73"/>
    </row>
    <row r="997" ht="15.75" customHeight="1">
      <c r="A997" s="6"/>
      <c r="B997" s="73"/>
    </row>
    <row r="998" ht="15.75" customHeight="1">
      <c r="A998" s="6"/>
      <c r="B998" s="73"/>
    </row>
    <row r="999" ht="15.75" customHeight="1">
      <c r="A999" s="6"/>
      <c r="B999" s="73"/>
    </row>
    <row r="1000" ht="15.75" customHeight="1">
      <c r="A1000" s="6"/>
      <c r="B1000" s="73"/>
    </row>
  </sheetData>
  <mergeCells count="15">
    <mergeCell ref="D6:E6"/>
    <mergeCell ref="E8:E12"/>
    <mergeCell ref="E15:E25"/>
    <mergeCell ref="E27:E39"/>
    <mergeCell ref="C40:D40"/>
    <mergeCell ref="A8:A14"/>
    <mergeCell ref="A15:A25"/>
    <mergeCell ref="A26:A37"/>
    <mergeCell ref="A1:E1"/>
    <mergeCell ref="A3:E3"/>
    <mergeCell ref="A4:E4"/>
    <mergeCell ref="A6:A7"/>
    <mergeCell ref="B6:B7"/>
    <mergeCell ref="C6:C7"/>
    <mergeCell ref="E13:E1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4.14"/>
    <col customWidth="1" min="4" max="4" width="7.0"/>
    <col customWidth="1" min="5" max="15" width="5.71"/>
    <col customWidth="1" min="16" max="16" width="8.0"/>
    <col customWidth="1" min="17" max="17" width="8.86"/>
    <col customWidth="1" min="18" max="26" width="10.71"/>
  </cols>
  <sheetData>
    <row r="1">
      <c r="A1" s="3" t="s">
        <v>130</v>
      </c>
      <c r="P1" s="143"/>
      <c r="Q1" s="144"/>
    </row>
    <row r="2">
      <c r="A2" s="145" t="s">
        <v>131</v>
      </c>
      <c r="B2" s="146" t="s">
        <v>132</v>
      </c>
      <c r="C2" s="145" t="s">
        <v>133</v>
      </c>
      <c r="D2" s="147" t="s">
        <v>134</v>
      </c>
      <c r="E2" s="147" t="s">
        <v>135</v>
      </c>
      <c r="F2" s="147" t="s">
        <v>136</v>
      </c>
      <c r="G2" s="147" t="s">
        <v>137</v>
      </c>
      <c r="H2" s="147" t="s">
        <v>138</v>
      </c>
      <c r="I2" s="147" t="s">
        <v>139</v>
      </c>
      <c r="J2" s="147" t="s">
        <v>140</v>
      </c>
      <c r="K2" s="147" t="s">
        <v>141</v>
      </c>
      <c r="L2" s="147" t="s">
        <v>142</v>
      </c>
      <c r="M2" s="147" t="s">
        <v>143</v>
      </c>
      <c r="N2" s="147" t="s">
        <v>144</v>
      </c>
      <c r="O2" s="148" t="s">
        <v>145</v>
      </c>
      <c r="P2" s="149" t="s">
        <v>146</v>
      </c>
      <c r="Q2" s="150" t="s">
        <v>146</v>
      </c>
    </row>
    <row r="3" ht="12.0" customHeight="1">
      <c r="A3" s="151">
        <v>1.0</v>
      </c>
      <c r="B3" s="124">
        <v>101.0</v>
      </c>
      <c r="C3" s="152" t="s">
        <v>147</v>
      </c>
      <c r="D3" s="153" t="s">
        <v>148</v>
      </c>
      <c r="E3" s="154">
        <v>700.0</v>
      </c>
      <c r="F3" s="154">
        <v>700.0</v>
      </c>
      <c r="G3" s="154">
        <v>700.0</v>
      </c>
      <c r="H3" s="155">
        <v>700.0</v>
      </c>
      <c r="I3" s="154">
        <v>700.0</v>
      </c>
      <c r="J3" s="154">
        <v>650.0</v>
      </c>
      <c r="K3" s="154"/>
      <c r="L3" s="154"/>
      <c r="M3" s="154"/>
      <c r="N3" s="154"/>
      <c r="O3" s="156"/>
      <c r="P3" s="157">
        <f t="shared" ref="P3:P42" si="1">SUM(D3:O3)</f>
        <v>4150</v>
      </c>
      <c r="Q3" s="158">
        <f t="shared" ref="Q3:Q42" si="2">SUM(P3)</f>
        <v>4150</v>
      </c>
      <c r="R3" s="159"/>
    </row>
    <row r="4" ht="12.0" customHeight="1">
      <c r="A4" s="160">
        <v>2.0</v>
      </c>
      <c r="B4" s="109">
        <v>102.0</v>
      </c>
      <c r="C4" s="161" t="s">
        <v>61</v>
      </c>
      <c r="D4" s="162" t="s">
        <v>148</v>
      </c>
      <c r="E4" s="163" t="s">
        <v>148</v>
      </c>
      <c r="F4" s="163" t="s">
        <v>148</v>
      </c>
      <c r="G4" s="163" t="s">
        <v>148</v>
      </c>
      <c r="H4" s="163" t="s">
        <v>148</v>
      </c>
      <c r="I4" s="163" t="s">
        <v>148</v>
      </c>
      <c r="J4" s="163">
        <v>650.0</v>
      </c>
      <c r="K4" s="163"/>
      <c r="L4" s="163"/>
      <c r="M4" s="163"/>
      <c r="N4" s="163"/>
      <c r="O4" s="164"/>
      <c r="P4" s="165">
        <f t="shared" si="1"/>
        <v>650</v>
      </c>
      <c r="Q4" s="166">
        <f t="shared" si="2"/>
        <v>650</v>
      </c>
      <c r="R4" s="159"/>
    </row>
    <row r="5" ht="12.0" customHeight="1">
      <c r="A5" s="160">
        <v>3.0</v>
      </c>
      <c r="B5" s="109">
        <v>103.0</v>
      </c>
      <c r="C5" s="161" t="s">
        <v>149</v>
      </c>
      <c r="D5" s="162" t="s">
        <v>148</v>
      </c>
      <c r="E5" s="163" t="s">
        <v>148</v>
      </c>
      <c r="F5" s="163" t="s">
        <v>148</v>
      </c>
      <c r="G5" s="163" t="s">
        <v>148</v>
      </c>
      <c r="H5" s="163" t="s">
        <v>148</v>
      </c>
      <c r="I5" s="163" t="s">
        <v>148</v>
      </c>
      <c r="J5" s="163" t="s">
        <v>148</v>
      </c>
      <c r="K5" s="163"/>
      <c r="L5" s="163"/>
      <c r="M5" s="163"/>
      <c r="N5" s="163"/>
      <c r="O5" s="164"/>
      <c r="P5" s="165">
        <f t="shared" si="1"/>
        <v>0</v>
      </c>
      <c r="Q5" s="166">
        <f t="shared" si="2"/>
        <v>0</v>
      </c>
      <c r="R5" s="159"/>
    </row>
    <row r="6" ht="12.0" customHeight="1">
      <c r="A6" s="160">
        <v>4.0</v>
      </c>
      <c r="B6" s="109">
        <v>104.0</v>
      </c>
      <c r="C6" s="161" t="s">
        <v>150</v>
      </c>
      <c r="D6" s="162" t="s">
        <v>148</v>
      </c>
      <c r="E6" s="163" t="s">
        <v>148</v>
      </c>
      <c r="F6" s="163" t="s">
        <v>148</v>
      </c>
      <c r="G6" s="163" t="s">
        <v>148</v>
      </c>
      <c r="H6" s="163" t="s">
        <v>148</v>
      </c>
      <c r="I6" s="163" t="s">
        <v>148</v>
      </c>
      <c r="J6" s="163">
        <v>650.0</v>
      </c>
      <c r="K6" s="163"/>
      <c r="L6" s="163"/>
      <c r="M6" s="163"/>
      <c r="N6" s="163"/>
      <c r="O6" s="164"/>
      <c r="P6" s="165">
        <f t="shared" si="1"/>
        <v>650</v>
      </c>
      <c r="Q6" s="166">
        <f t="shared" si="2"/>
        <v>650</v>
      </c>
      <c r="R6" s="159"/>
    </row>
    <row r="7" ht="12.0" customHeight="1">
      <c r="A7" s="160">
        <v>5.0</v>
      </c>
      <c r="B7" s="109">
        <v>201.0</v>
      </c>
      <c r="C7" s="161" t="s">
        <v>151</v>
      </c>
      <c r="D7" s="162" t="s">
        <v>148</v>
      </c>
      <c r="E7" s="163" t="s">
        <v>148</v>
      </c>
      <c r="F7" s="163" t="s">
        <v>148</v>
      </c>
      <c r="G7" s="163" t="s">
        <v>148</v>
      </c>
      <c r="H7" s="163">
        <v>700.0</v>
      </c>
      <c r="I7" s="163">
        <v>700.0</v>
      </c>
      <c r="J7" s="163">
        <v>650.0</v>
      </c>
      <c r="K7" s="163"/>
      <c r="L7" s="163"/>
      <c r="M7" s="163"/>
      <c r="N7" s="163"/>
      <c r="O7" s="164"/>
      <c r="P7" s="165">
        <f t="shared" si="1"/>
        <v>2050</v>
      </c>
      <c r="Q7" s="166">
        <f t="shared" si="2"/>
        <v>2050</v>
      </c>
      <c r="R7" s="159"/>
      <c r="S7" s="159"/>
      <c r="T7" s="159"/>
      <c r="U7" s="159"/>
      <c r="V7" s="159"/>
      <c r="W7" s="159"/>
      <c r="X7" s="159"/>
      <c r="Y7" s="159"/>
      <c r="Z7" s="159"/>
    </row>
    <row r="8" ht="12.0" customHeight="1">
      <c r="A8" s="160">
        <v>6.0</v>
      </c>
      <c r="B8" s="109">
        <v>202.0</v>
      </c>
      <c r="C8" s="161" t="s">
        <v>152</v>
      </c>
      <c r="D8" s="162" t="s">
        <v>148</v>
      </c>
      <c r="E8" s="163" t="s">
        <v>148</v>
      </c>
      <c r="F8" s="163" t="s">
        <v>148</v>
      </c>
      <c r="G8" s="163" t="s">
        <v>148</v>
      </c>
      <c r="H8" s="163" t="s">
        <v>148</v>
      </c>
      <c r="I8" s="163" t="s">
        <v>148</v>
      </c>
      <c r="J8" s="163" t="s">
        <v>148</v>
      </c>
      <c r="K8" s="163"/>
      <c r="L8" s="163"/>
      <c r="M8" s="163"/>
      <c r="N8" s="163"/>
      <c r="O8" s="164"/>
      <c r="P8" s="165">
        <f t="shared" si="1"/>
        <v>0</v>
      </c>
      <c r="Q8" s="166">
        <f t="shared" si="2"/>
        <v>0</v>
      </c>
      <c r="R8" s="159"/>
    </row>
    <row r="9" ht="12.0" customHeight="1">
      <c r="A9" s="160">
        <v>7.0</v>
      </c>
      <c r="B9" s="109">
        <v>203.0</v>
      </c>
      <c r="C9" s="161" t="s">
        <v>153</v>
      </c>
      <c r="D9" s="162" t="s">
        <v>148</v>
      </c>
      <c r="E9" s="163" t="s">
        <v>148</v>
      </c>
      <c r="F9" s="163" t="s">
        <v>148</v>
      </c>
      <c r="G9" s="163" t="s">
        <v>148</v>
      </c>
      <c r="H9" s="163" t="s">
        <v>148</v>
      </c>
      <c r="I9" s="163" t="s">
        <v>148</v>
      </c>
      <c r="J9" s="163" t="s">
        <v>148</v>
      </c>
      <c r="K9" s="163"/>
      <c r="L9" s="163"/>
      <c r="M9" s="163"/>
      <c r="N9" s="163"/>
      <c r="O9" s="164"/>
      <c r="P9" s="165">
        <f t="shared" si="1"/>
        <v>0</v>
      </c>
      <c r="Q9" s="166">
        <f t="shared" si="2"/>
        <v>0</v>
      </c>
      <c r="R9" s="159"/>
    </row>
    <row r="10" ht="12.0" customHeight="1">
      <c r="A10" s="160">
        <v>8.0</v>
      </c>
      <c r="B10" s="109">
        <v>204.0</v>
      </c>
      <c r="C10" s="161" t="s">
        <v>154</v>
      </c>
      <c r="D10" s="162" t="s">
        <v>148</v>
      </c>
      <c r="E10" s="163" t="s">
        <v>148</v>
      </c>
      <c r="F10" s="163" t="s">
        <v>148</v>
      </c>
      <c r="G10" s="163" t="s">
        <v>148</v>
      </c>
      <c r="H10" s="163" t="s">
        <v>148</v>
      </c>
      <c r="I10" s="163" t="s">
        <v>148</v>
      </c>
      <c r="J10" s="163" t="s">
        <v>148</v>
      </c>
      <c r="K10" s="163"/>
      <c r="L10" s="163"/>
      <c r="M10" s="163"/>
      <c r="N10" s="163"/>
      <c r="O10" s="164"/>
      <c r="P10" s="165">
        <f t="shared" si="1"/>
        <v>0</v>
      </c>
      <c r="Q10" s="166">
        <f t="shared" si="2"/>
        <v>0</v>
      </c>
      <c r="R10" s="159"/>
    </row>
    <row r="11" ht="12.0" customHeight="1">
      <c r="A11" s="160">
        <v>9.0</v>
      </c>
      <c r="B11" s="109">
        <v>301.0</v>
      </c>
      <c r="C11" s="161" t="s">
        <v>155</v>
      </c>
      <c r="D11" s="162" t="s">
        <v>148</v>
      </c>
      <c r="E11" s="163" t="s">
        <v>148</v>
      </c>
      <c r="F11" s="163" t="s">
        <v>148</v>
      </c>
      <c r="G11" s="163" t="s">
        <v>148</v>
      </c>
      <c r="H11" s="163" t="s">
        <v>148</v>
      </c>
      <c r="I11" s="163">
        <v>500.0</v>
      </c>
      <c r="J11" s="163">
        <v>500.0</v>
      </c>
      <c r="K11" s="163"/>
      <c r="L11" s="163"/>
      <c r="M11" s="163"/>
      <c r="N11" s="163"/>
      <c r="O11" s="164"/>
      <c r="P11" s="165">
        <f t="shared" si="1"/>
        <v>1000</v>
      </c>
      <c r="Q11" s="166">
        <f t="shared" si="2"/>
        <v>1000</v>
      </c>
      <c r="R11" s="159"/>
    </row>
    <row r="12" ht="12.0" customHeight="1">
      <c r="A12" s="160">
        <v>10.0</v>
      </c>
      <c r="B12" s="109">
        <v>302.0</v>
      </c>
      <c r="C12" s="161" t="s">
        <v>68</v>
      </c>
      <c r="D12" s="162" t="s">
        <v>148</v>
      </c>
      <c r="E12" s="163" t="s">
        <v>148</v>
      </c>
      <c r="F12" s="163" t="s">
        <v>148</v>
      </c>
      <c r="G12" s="163" t="s">
        <v>148</v>
      </c>
      <c r="H12" s="163">
        <v>700.0</v>
      </c>
      <c r="I12" s="163">
        <v>700.0</v>
      </c>
      <c r="J12" s="163">
        <v>650.0</v>
      </c>
      <c r="K12" s="163"/>
      <c r="L12" s="163"/>
      <c r="M12" s="163"/>
      <c r="N12" s="163"/>
      <c r="O12" s="164"/>
      <c r="P12" s="165">
        <f t="shared" si="1"/>
        <v>2050</v>
      </c>
      <c r="Q12" s="166">
        <f t="shared" si="2"/>
        <v>2050</v>
      </c>
      <c r="R12" s="159"/>
    </row>
    <row r="13" ht="12.0" customHeight="1">
      <c r="A13" s="160">
        <v>11.0</v>
      </c>
      <c r="B13" s="109">
        <v>303.0</v>
      </c>
      <c r="C13" s="161" t="s">
        <v>40</v>
      </c>
      <c r="D13" s="162" t="s">
        <v>148</v>
      </c>
      <c r="E13" s="163" t="s">
        <v>148</v>
      </c>
      <c r="F13" s="163" t="s">
        <v>148</v>
      </c>
      <c r="G13" s="163">
        <v>700.0</v>
      </c>
      <c r="H13" s="163">
        <v>700.0</v>
      </c>
      <c r="I13" s="163">
        <v>700.0</v>
      </c>
      <c r="J13" s="163">
        <v>650.0</v>
      </c>
      <c r="K13" s="163"/>
      <c r="L13" s="163"/>
      <c r="M13" s="163"/>
      <c r="N13" s="163"/>
      <c r="O13" s="164"/>
      <c r="P13" s="165">
        <f t="shared" si="1"/>
        <v>2750</v>
      </c>
      <c r="Q13" s="166">
        <f t="shared" si="2"/>
        <v>2750</v>
      </c>
      <c r="R13" s="159"/>
      <c r="S13" s="159"/>
      <c r="T13" s="159"/>
      <c r="U13" s="159"/>
      <c r="V13" s="159"/>
      <c r="W13" s="159"/>
      <c r="X13" s="159"/>
      <c r="Y13" s="159"/>
      <c r="Z13" s="159"/>
    </row>
    <row r="14" ht="12.0" customHeight="1">
      <c r="A14" s="160">
        <v>12.0</v>
      </c>
      <c r="B14" s="109">
        <v>304.0</v>
      </c>
      <c r="C14" s="161" t="s">
        <v>55</v>
      </c>
      <c r="D14" s="162" t="s">
        <v>148</v>
      </c>
      <c r="E14" s="163" t="s">
        <v>148</v>
      </c>
      <c r="F14" s="163" t="s">
        <v>148</v>
      </c>
      <c r="G14" s="163" t="s">
        <v>148</v>
      </c>
      <c r="H14" s="163" t="s">
        <v>148</v>
      </c>
      <c r="I14" s="163" t="s">
        <v>148</v>
      </c>
      <c r="J14" s="163">
        <v>650.0</v>
      </c>
      <c r="K14" s="163"/>
      <c r="L14" s="163"/>
      <c r="M14" s="163"/>
      <c r="N14" s="163"/>
      <c r="O14" s="164"/>
      <c r="P14" s="165">
        <f t="shared" si="1"/>
        <v>650</v>
      </c>
      <c r="Q14" s="166">
        <f t="shared" si="2"/>
        <v>650</v>
      </c>
    </row>
    <row r="15" ht="12.0" customHeight="1">
      <c r="A15" s="160">
        <v>13.0</v>
      </c>
      <c r="B15" s="109">
        <v>401.0</v>
      </c>
      <c r="C15" s="161" t="s">
        <v>156</v>
      </c>
      <c r="D15" s="162" t="s">
        <v>148</v>
      </c>
      <c r="E15" s="163" t="s">
        <v>148</v>
      </c>
      <c r="F15" s="163" t="s">
        <v>148</v>
      </c>
      <c r="G15" s="163" t="s">
        <v>148</v>
      </c>
      <c r="H15" s="163" t="s">
        <v>148</v>
      </c>
      <c r="I15" s="163" t="s">
        <v>148</v>
      </c>
      <c r="J15" s="163">
        <v>500.0</v>
      </c>
      <c r="K15" s="163"/>
      <c r="L15" s="163"/>
      <c r="M15" s="163"/>
      <c r="N15" s="163"/>
      <c r="O15" s="164"/>
      <c r="P15" s="165">
        <f t="shared" si="1"/>
        <v>500</v>
      </c>
      <c r="Q15" s="166">
        <f t="shared" si="2"/>
        <v>500</v>
      </c>
    </row>
    <row r="16" ht="12.0" customHeight="1">
      <c r="A16" s="160">
        <v>14.0</v>
      </c>
      <c r="B16" s="109">
        <v>402.0</v>
      </c>
      <c r="C16" s="161" t="s">
        <v>157</v>
      </c>
      <c r="D16" s="162" t="s">
        <v>148</v>
      </c>
      <c r="E16" s="163" t="s">
        <v>148</v>
      </c>
      <c r="F16" s="163" t="s">
        <v>148</v>
      </c>
      <c r="G16" s="163" t="s">
        <v>148</v>
      </c>
      <c r="H16" s="163" t="s">
        <v>148</v>
      </c>
      <c r="I16" s="163" t="s">
        <v>148</v>
      </c>
      <c r="J16" s="163" t="s">
        <v>148</v>
      </c>
      <c r="K16" s="163"/>
      <c r="L16" s="163"/>
      <c r="M16" s="163"/>
      <c r="N16" s="163"/>
      <c r="O16" s="164"/>
      <c r="P16" s="165">
        <f t="shared" si="1"/>
        <v>0</v>
      </c>
      <c r="Q16" s="166">
        <f t="shared" si="2"/>
        <v>0</v>
      </c>
    </row>
    <row r="17" ht="12.0" customHeight="1">
      <c r="A17" s="160">
        <v>15.0</v>
      </c>
      <c r="B17" s="109">
        <v>403.0</v>
      </c>
      <c r="C17" s="161" t="s">
        <v>158</v>
      </c>
      <c r="D17" s="162" t="s">
        <v>148</v>
      </c>
      <c r="E17" s="163" t="s">
        <v>148</v>
      </c>
      <c r="F17" s="163" t="s">
        <v>148</v>
      </c>
      <c r="G17" s="163" t="s">
        <v>148</v>
      </c>
      <c r="H17" s="163" t="s">
        <v>148</v>
      </c>
      <c r="I17" s="163" t="s">
        <v>148</v>
      </c>
      <c r="J17" s="163">
        <v>650.0</v>
      </c>
      <c r="K17" s="163"/>
      <c r="L17" s="163"/>
      <c r="M17" s="163"/>
      <c r="N17" s="163"/>
      <c r="O17" s="164"/>
      <c r="P17" s="165">
        <f t="shared" si="1"/>
        <v>650</v>
      </c>
      <c r="Q17" s="166">
        <f t="shared" si="2"/>
        <v>650</v>
      </c>
    </row>
    <row r="18" ht="12.0" customHeight="1">
      <c r="A18" s="160">
        <v>16.0</v>
      </c>
      <c r="B18" s="109">
        <v>404.0</v>
      </c>
      <c r="C18" s="167" t="s">
        <v>159</v>
      </c>
      <c r="D18" s="162" t="s">
        <v>148</v>
      </c>
      <c r="E18" s="163" t="s">
        <v>148</v>
      </c>
      <c r="F18" s="163" t="s">
        <v>148</v>
      </c>
      <c r="G18" s="163" t="s">
        <v>148</v>
      </c>
      <c r="H18" s="163" t="s">
        <v>148</v>
      </c>
      <c r="I18" s="163">
        <v>200.0</v>
      </c>
      <c r="J18" s="163">
        <v>650.0</v>
      </c>
      <c r="K18" s="163"/>
      <c r="L18" s="163"/>
      <c r="M18" s="163"/>
      <c r="N18" s="163"/>
      <c r="O18" s="164"/>
      <c r="P18" s="165">
        <f t="shared" si="1"/>
        <v>850</v>
      </c>
      <c r="Q18" s="166">
        <f t="shared" si="2"/>
        <v>850</v>
      </c>
      <c r="R18" s="168"/>
      <c r="S18" s="168"/>
      <c r="T18" s="168"/>
      <c r="U18" s="168"/>
      <c r="V18" s="168"/>
      <c r="W18" s="168"/>
      <c r="X18" s="168"/>
      <c r="Y18" s="168"/>
      <c r="Z18" s="168"/>
    </row>
    <row r="19" ht="12.0" customHeight="1">
      <c r="A19" s="160">
        <v>17.0</v>
      </c>
      <c r="B19" s="109">
        <v>501.0</v>
      </c>
      <c r="C19" s="161" t="s">
        <v>160</v>
      </c>
      <c r="D19" s="162" t="s">
        <v>148</v>
      </c>
      <c r="E19" s="163" t="s">
        <v>148</v>
      </c>
      <c r="F19" s="163" t="s">
        <v>148</v>
      </c>
      <c r="G19" s="163" t="s">
        <v>148</v>
      </c>
      <c r="H19" s="163" t="s">
        <v>148</v>
      </c>
      <c r="I19" s="163">
        <v>500.0</v>
      </c>
      <c r="J19" s="163">
        <v>500.0</v>
      </c>
      <c r="K19" s="163"/>
      <c r="L19" s="163"/>
      <c r="M19" s="163"/>
      <c r="N19" s="163"/>
      <c r="O19" s="164"/>
      <c r="P19" s="165">
        <f t="shared" si="1"/>
        <v>1000</v>
      </c>
      <c r="Q19" s="166">
        <f t="shared" si="2"/>
        <v>1000</v>
      </c>
    </row>
    <row r="20" ht="12.0" customHeight="1">
      <c r="A20" s="160">
        <v>18.0</v>
      </c>
      <c r="B20" s="109">
        <v>502.0</v>
      </c>
      <c r="C20" s="161" t="s">
        <v>64</v>
      </c>
      <c r="D20" s="162" t="s">
        <v>148</v>
      </c>
      <c r="E20" s="163" t="s">
        <v>148</v>
      </c>
      <c r="F20" s="163" t="s">
        <v>148</v>
      </c>
      <c r="G20" s="163" t="s">
        <v>148</v>
      </c>
      <c r="H20" s="163" t="s">
        <v>148</v>
      </c>
      <c r="I20" s="163" t="s">
        <v>148</v>
      </c>
      <c r="J20" s="163">
        <v>650.0</v>
      </c>
      <c r="K20" s="163"/>
      <c r="L20" s="163"/>
      <c r="M20" s="163"/>
      <c r="N20" s="163"/>
      <c r="O20" s="164"/>
      <c r="P20" s="165">
        <f t="shared" si="1"/>
        <v>650</v>
      </c>
      <c r="Q20" s="166">
        <f t="shared" si="2"/>
        <v>650</v>
      </c>
    </row>
    <row r="21" ht="12.0" customHeight="1">
      <c r="A21" s="160">
        <v>19.0</v>
      </c>
      <c r="B21" s="109">
        <v>503.0</v>
      </c>
      <c r="C21" s="161" t="s">
        <v>50</v>
      </c>
      <c r="D21" s="162" t="s">
        <v>148</v>
      </c>
      <c r="E21" s="163" t="s">
        <v>148</v>
      </c>
      <c r="F21" s="163" t="s">
        <v>148</v>
      </c>
      <c r="G21" s="163" t="s">
        <v>148</v>
      </c>
      <c r="H21" s="163" t="s">
        <v>148</v>
      </c>
      <c r="I21" s="163" t="s">
        <v>148</v>
      </c>
      <c r="J21" s="163" t="s">
        <v>148</v>
      </c>
      <c r="K21" s="163"/>
      <c r="L21" s="163"/>
      <c r="M21" s="163"/>
      <c r="N21" s="163"/>
      <c r="O21" s="164"/>
      <c r="P21" s="165">
        <f t="shared" si="1"/>
        <v>0</v>
      </c>
      <c r="Q21" s="166">
        <f t="shared" si="2"/>
        <v>0</v>
      </c>
    </row>
    <row r="22" ht="12.0" customHeight="1">
      <c r="A22" s="160">
        <v>20.0</v>
      </c>
      <c r="B22" s="109">
        <v>504.0</v>
      </c>
      <c r="C22" s="161" t="s">
        <v>59</v>
      </c>
      <c r="D22" s="162" t="s">
        <v>148</v>
      </c>
      <c r="E22" s="163" t="s">
        <v>148</v>
      </c>
      <c r="F22" s="163" t="s">
        <v>148</v>
      </c>
      <c r="G22" s="163" t="s">
        <v>148</v>
      </c>
      <c r="H22" s="163" t="s">
        <v>148</v>
      </c>
      <c r="I22" s="163" t="s">
        <v>148</v>
      </c>
      <c r="J22" s="163" t="s">
        <v>148</v>
      </c>
      <c r="K22" s="163"/>
      <c r="L22" s="163"/>
      <c r="M22" s="163"/>
      <c r="N22" s="163"/>
      <c r="O22" s="164"/>
      <c r="P22" s="165">
        <f t="shared" si="1"/>
        <v>0</v>
      </c>
      <c r="Q22" s="166">
        <f t="shared" si="2"/>
        <v>0</v>
      </c>
    </row>
    <row r="23" ht="12.0" customHeight="1">
      <c r="A23" s="160">
        <v>21.0</v>
      </c>
      <c r="B23" s="109">
        <v>601.0</v>
      </c>
      <c r="C23" s="161" t="s">
        <v>161</v>
      </c>
      <c r="D23" s="162" t="s">
        <v>148</v>
      </c>
      <c r="E23" s="163" t="s">
        <v>148</v>
      </c>
      <c r="F23" s="163" t="s">
        <v>148</v>
      </c>
      <c r="G23" s="163" t="s">
        <v>148</v>
      </c>
      <c r="H23" s="163" t="s">
        <v>148</v>
      </c>
      <c r="I23" s="163">
        <v>700.0</v>
      </c>
      <c r="J23" s="163">
        <v>650.0</v>
      </c>
      <c r="K23" s="163"/>
      <c r="L23" s="163"/>
      <c r="M23" s="163"/>
      <c r="N23" s="163"/>
      <c r="O23" s="164"/>
      <c r="P23" s="165">
        <f t="shared" si="1"/>
        <v>1350</v>
      </c>
      <c r="Q23" s="166">
        <f t="shared" si="2"/>
        <v>1350</v>
      </c>
    </row>
    <row r="24" ht="12.0" customHeight="1">
      <c r="A24" s="160">
        <v>22.0</v>
      </c>
      <c r="B24" s="109">
        <v>602.0</v>
      </c>
      <c r="C24" s="161" t="s">
        <v>162</v>
      </c>
      <c r="D24" s="162" t="s">
        <v>148</v>
      </c>
      <c r="E24" s="163" t="s">
        <v>148</v>
      </c>
      <c r="F24" s="163" t="s">
        <v>148</v>
      </c>
      <c r="G24" s="163" t="s">
        <v>148</v>
      </c>
      <c r="H24" s="163" t="s">
        <v>148</v>
      </c>
      <c r="I24" s="163" t="s">
        <v>148</v>
      </c>
      <c r="J24" s="163" t="s">
        <v>148</v>
      </c>
      <c r="K24" s="163"/>
      <c r="L24" s="163"/>
      <c r="M24" s="163"/>
      <c r="N24" s="163"/>
      <c r="O24" s="164"/>
      <c r="P24" s="165">
        <f t="shared" si="1"/>
        <v>0</v>
      </c>
      <c r="Q24" s="166">
        <f t="shared" si="2"/>
        <v>0</v>
      </c>
    </row>
    <row r="25" ht="12.0" customHeight="1">
      <c r="A25" s="160">
        <v>23.0</v>
      </c>
      <c r="B25" s="109">
        <v>603.0</v>
      </c>
      <c r="C25" s="161" t="s">
        <v>154</v>
      </c>
      <c r="D25" s="162" t="s">
        <v>148</v>
      </c>
      <c r="E25" s="163" t="s">
        <v>148</v>
      </c>
      <c r="F25" s="163" t="s">
        <v>148</v>
      </c>
      <c r="G25" s="163" t="s">
        <v>148</v>
      </c>
      <c r="H25" s="163" t="s">
        <v>148</v>
      </c>
      <c r="I25" s="163" t="s">
        <v>148</v>
      </c>
      <c r="J25" s="163" t="s">
        <v>148</v>
      </c>
      <c r="K25" s="163"/>
      <c r="L25" s="163"/>
      <c r="M25" s="163"/>
      <c r="N25" s="163"/>
      <c r="O25" s="164"/>
      <c r="P25" s="165">
        <f t="shared" si="1"/>
        <v>0</v>
      </c>
      <c r="Q25" s="166">
        <f t="shared" si="2"/>
        <v>0</v>
      </c>
    </row>
    <row r="26" ht="12.0" customHeight="1">
      <c r="A26" s="160">
        <v>24.0</v>
      </c>
      <c r="B26" s="109">
        <v>604.0</v>
      </c>
      <c r="C26" s="161" t="s">
        <v>60</v>
      </c>
      <c r="D26" s="162" t="s">
        <v>148</v>
      </c>
      <c r="E26" s="163" t="s">
        <v>148</v>
      </c>
      <c r="F26" s="163" t="s">
        <v>148</v>
      </c>
      <c r="G26" s="163" t="s">
        <v>148</v>
      </c>
      <c r="H26" s="163" t="s">
        <v>148</v>
      </c>
      <c r="I26" s="163">
        <v>500.0</v>
      </c>
      <c r="J26" s="163">
        <v>500.0</v>
      </c>
      <c r="K26" s="163"/>
      <c r="L26" s="163"/>
      <c r="M26" s="163"/>
      <c r="N26" s="163"/>
      <c r="O26" s="164"/>
      <c r="P26" s="165">
        <f t="shared" si="1"/>
        <v>1000</v>
      </c>
      <c r="Q26" s="166">
        <f t="shared" si="2"/>
        <v>1000</v>
      </c>
    </row>
    <row r="27" ht="12.0" customHeight="1">
      <c r="A27" s="160">
        <v>25.0</v>
      </c>
      <c r="B27" s="109">
        <v>701.0</v>
      </c>
      <c r="C27" s="161" t="s">
        <v>73</v>
      </c>
      <c r="D27" s="162" t="s">
        <v>148</v>
      </c>
      <c r="E27" s="163" t="s">
        <v>148</v>
      </c>
      <c r="F27" s="163" t="s">
        <v>148</v>
      </c>
      <c r="G27" s="163" t="s">
        <v>148</v>
      </c>
      <c r="H27" s="163" t="s">
        <v>148</v>
      </c>
      <c r="I27" s="163" t="s">
        <v>148</v>
      </c>
      <c r="J27" s="163">
        <v>650.0</v>
      </c>
      <c r="K27" s="163"/>
      <c r="L27" s="163"/>
      <c r="M27" s="163"/>
      <c r="N27" s="163"/>
      <c r="O27" s="164"/>
      <c r="P27" s="165">
        <f t="shared" si="1"/>
        <v>650</v>
      </c>
      <c r="Q27" s="166">
        <f t="shared" si="2"/>
        <v>650</v>
      </c>
      <c r="R27" s="168"/>
      <c r="S27" s="168"/>
      <c r="T27" s="168"/>
      <c r="U27" s="168"/>
      <c r="V27" s="168"/>
      <c r="W27" s="168"/>
      <c r="X27" s="168"/>
      <c r="Y27" s="168"/>
      <c r="Z27" s="168"/>
    </row>
    <row r="28" ht="12.0" customHeight="1">
      <c r="A28" s="160">
        <v>26.0</v>
      </c>
      <c r="B28" s="109">
        <v>702.0</v>
      </c>
      <c r="C28" s="161" t="s">
        <v>163</v>
      </c>
      <c r="D28" s="162" t="s">
        <v>148</v>
      </c>
      <c r="E28" s="163" t="s">
        <v>148</v>
      </c>
      <c r="F28" s="163" t="s">
        <v>148</v>
      </c>
      <c r="G28" s="163" t="s">
        <v>148</v>
      </c>
      <c r="H28" s="163" t="s">
        <v>148</v>
      </c>
      <c r="I28" s="163" t="s">
        <v>148</v>
      </c>
      <c r="J28" s="163" t="s">
        <v>148</v>
      </c>
      <c r="K28" s="163"/>
      <c r="L28" s="163"/>
      <c r="M28" s="163"/>
      <c r="N28" s="163"/>
      <c r="O28" s="164"/>
      <c r="P28" s="165">
        <f t="shared" si="1"/>
        <v>0</v>
      </c>
      <c r="Q28" s="166">
        <f t="shared" si="2"/>
        <v>0</v>
      </c>
    </row>
    <row r="29" ht="12.0" customHeight="1">
      <c r="A29" s="160">
        <v>27.0</v>
      </c>
      <c r="B29" s="109">
        <v>703.0</v>
      </c>
      <c r="C29" s="161" t="s">
        <v>164</v>
      </c>
      <c r="D29" s="162" t="s">
        <v>148</v>
      </c>
      <c r="E29" s="163" t="s">
        <v>148</v>
      </c>
      <c r="F29" s="163" t="s">
        <v>148</v>
      </c>
      <c r="G29" s="163" t="s">
        <v>148</v>
      </c>
      <c r="H29" s="163" t="s">
        <v>148</v>
      </c>
      <c r="I29" s="163" t="s">
        <v>148</v>
      </c>
      <c r="J29" s="163">
        <v>650.0</v>
      </c>
      <c r="K29" s="163"/>
      <c r="L29" s="163"/>
      <c r="M29" s="163"/>
      <c r="N29" s="163"/>
      <c r="O29" s="164"/>
      <c r="P29" s="165">
        <f t="shared" si="1"/>
        <v>650</v>
      </c>
      <c r="Q29" s="166">
        <f t="shared" si="2"/>
        <v>650</v>
      </c>
    </row>
    <row r="30" ht="12.0" customHeight="1">
      <c r="A30" s="160">
        <v>28.0</v>
      </c>
      <c r="B30" s="109">
        <v>704.0</v>
      </c>
      <c r="C30" s="167" t="s">
        <v>165</v>
      </c>
      <c r="D30" s="162" t="s">
        <v>148</v>
      </c>
      <c r="E30" s="163" t="s">
        <v>148</v>
      </c>
      <c r="F30" s="163" t="s">
        <v>148</v>
      </c>
      <c r="G30" s="163" t="s">
        <v>148</v>
      </c>
      <c r="H30" s="163" t="s">
        <v>148</v>
      </c>
      <c r="I30" s="163" t="s">
        <v>148</v>
      </c>
      <c r="J30" s="163" t="s">
        <v>166</v>
      </c>
      <c r="K30" s="163"/>
      <c r="L30" s="163"/>
      <c r="M30" s="163"/>
      <c r="N30" s="163"/>
      <c r="O30" s="164"/>
      <c r="P30" s="165">
        <f t="shared" si="1"/>
        <v>0</v>
      </c>
      <c r="Q30" s="166">
        <f t="shared" si="2"/>
        <v>0</v>
      </c>
    </row>
    <row r="31" ht="12.0" customHeight="1">
      <c r="A31" s="160">
        <v>29.0</v>
      </c>
      <c r="B31" s="109">
        <v>801.0</v>
      </c>
      <c r="C31" s="161" t="s">
        <v>167</v>
      </c>
      <c r="D31" s="162" t="s">
        <v>148</v>
      </c>
      <c r="E31" s="163" t="s">
        <v>148</v>
      </c>
      <c r="F31" s="163" t="s">
        <v>148</v>
      </c>
      <c r="G31" s="163" t="s">
        <v>148</v>
      </c>
      <c r="H31" s="163" t="s">
        <v>148</v>
      </c>
      <c r="I31" s="163" t="s">
        <v>148</v>
      </c>
      <c r="J31" s="163">
        <v>650.0</v>
      </c>
      <c r="K31" s="163"/>
      <c r="L31" s="163"/>
      <c r="M31" s="163"/>
      <c r="N31" s="163"/>
      <c r="O31" s="164"/>
      <c r="P31" s="165">
        <f t="shared" si="1"/>
        <v>650</v>
      </c>
      <c r="Q31" s="166">
        <f t="shared" si="2"/>
        <v>650</v>
      </c>
    </row>
    <row r="32" ht="12.0" customHeight="1">
      <c r="A32" s="160">
        <v>30.0</v>
      </c>
      <c r="B32" s="109">
        <v>802.0</v>
      </c>
      <c r="C32" s="161" t="s">
        <v>65</v>
      </c>
      <c r="D32" s="162" t="s">
        <v>148</v>
      </c>
      <c r="E32" s="163" t="s">
        <v>148</v>
      </c>
      <c r="F32" s="163" t="s">
        <v>148</v>
      </c>
      <c r="G32" s="163" t="s">
        <v>148</v>
      </c>
      <c r="H32" s="163" t="s">
        <v>148</v>
      </c>
      <c r="I32" s="163" t="s">
        <v>148</v>
      </c>
      <c r="J32" s="163" t="s">
        <v>148</v>
      </c>
      <c r="K32" s="163"/>
      <c r="L32" s="163"/>
      <c r="M32" s="163"/>
      <c r="N32" s="163"/>
      <c r="O32" s="164"/>
      <c r="P32" s="165">
        <f t="shared" si="1"/>
        <v>0</v>
      </c>
      <c r="Q32" s="166">
        <f t="shared" si="2"/>
        <v>0</v>
      </c>
    </row>
    <row r="33" ht="12.0" customHeight="1">
      <c r="A33" s="160">
        <v>31.0</v>
      </c>
      <c r="B33" s="109">
        <v>803.0</v>
      </c>
      <c r="C33" s="161" t="s">
        <v>52</v>
      </c>
      <c r="D33" s="162" t="s">
        <v>148</v>
      </c>
      <c r="E33" s="163" t="s">
        <v>148</v>
      </c>
      <c r="F33" s="163" t="s">
        <v>148</v>
      </c>
      <c r="G33" s="163" t="s">
        <v>148</v>
      </c>
      <c r="H33" s="163" t="s">
        <v>148</v>
      </c>
      <c r="I33" s="163" t="s">
        <v>148</v>
      </c>
      <c r="J33" s="163" t="s">
        <v>148</v>
      </c>
      <c r="K33" s="163"/>
      <c r="L33" s="163"/>
      <c r="M33" s="163"/>
      <c r="N33" s="163"/>
      <c r="O33" s="164"/>
      <c r="P33" s="165">
        <f t="shared" si="1"/>
        <v>0</v>
      </c>
      <c r="Q33" s="166">
        <f t="shared" si="2"/>
        <v>0</v>
      </c>
    </row>
    <row r="34" ht="12.0" customHeight="1">
      <c r="A34" s="160">
        <v>32.0</v>
      </c>
      <c r="B34" s="109">
        <v>804.0</v>
      </c>
      <c r="C34" s="161" t="s">
        <v>36</v>
      </c>
      <c r="D34" s="162" t="s">
        <v>148</v>
      </c>
      <c r="E34" s="163" t="s">
        <v>148</v>
      </c>
      <c r="F34" s="163" t="s">
        <v>148</v>
      </c>
      <c r="G34" s="163" t="s">
        <v>148</v>
      </c>
      <c r="H34" s="163" t="s">
        <v>148</v>
      </c>
      <c r="I34" s="163" t="s">
        <v>148</v>
      </c>
      <c r="J34" s="163">
        <v>650.0</v>
      </c>
      <c r="K34" s="163"/>
      <c r="L34" s="163"/>
      <c r="M34" s="163"/>
      <c r="N34" s="163"/>
      <c r="O34" s="164"/>
      <c r="P34" s="165">
        <f t="shared" si="1"/>
        <v>650</v>
      </c>
      <c r="Q34" s="166">
        <f t="shared" si="2"/>
        <v>650</v>
      </c>
    </row>
    <row r="35" ht="12.0" customHeight="1">
      <c r="A35" s="160">
        <v>33.0</v>
      </c>
      <c r="B35" s="109">
        <v>901.0</v>
      </c>
      <c r="C35" s="161" t="s">
        <v>168</v>
      </c>
      <c r="D35" s="162" t="s">
        <v>148</v>
      </c>
      <c r="E35" s="163" t="s">
        <v>148</v>
      </c>
      <c r="F35" s="163" t="s">
        <v>148</v>
      </c>
      <c r="G35" s="163" t="s">
        <v>148</v>
      </c>
      <c r="H35" s="163" t="s">
        <v>148</v>
      </c>
      <c r="I35" s="163" t="s">
        <v>148</v>
      </c>
      <c r="J35" s="163" t="s">
        <v>148</v>
      </c>
      <c r="K35" s="163"/>
      <c r="L35" s="163"/>
      <c r="M35" s="163"/>
      <c r="N35" s="163"/>
      <c r="O35" s="164"/>
      <c r="P35" s="165">
        <f t="shared" si="1"/>
        <v>0</v>
      </c>
      <c r="Q35" s="166">
        <f t="shared" si="2"/>
        <v>0</v>
      </c>
    </row>
    <row r="36" ht="12.0" customHeight="1">
      <c r="A36" s="160">
        <v>34.0</v>
      </c>
      <c r="B36" s="109">
        <v>902.0</v>
      </c>
      <c r="C36" s="161" t="s">
        <v>44</v>
      </c>
      <c r="D36" s="162" t="s">
        <v>148</v>
      </c>
      <c r="E36" s="163" t="s">
        <v>148</v>
      </c>
      <c r="F36" s="163" t="s">
        <v>148</v>
      </c>
      <c r="G36" s="163" t="s">
        <v>148</v>
      </c>
      <c r="H36" s="163" t="s">
        <v>148</v>
      </c>
      <c r="I36" s="163" t="s">
        <v>148</v>
      </c>
      <c r="J36" s="163" t="s">
        <v>148</v>
      </c>
      <c r="K36" s="163"/>
      <c r="L36" s="163"/>
      <c r="M36" s="163"/>
      <c r="N36" s="163"/>
      <c r="O36" s="164"/>
      <c r="P36" s="165">
        <f t="shared" si="1"/>
        <v>0</v>
      </c>
      <c r="Q36" s="166">
        <f t="shared" si="2"/>
        <v>0</v>
      </c>
    </row>
    <row r="37" ht="12.0" customHeight="1">
      <c r="A37" s="160">
        <v>35.0</v>
      </c>
      <c r="B37" s="109">
        <v>903.0</v>
      </c>
      <c r="C37" s="161" t="s">
        <v>46</v>
      </c>
      <c r="D37" s="162" t="s">
        <v>148</v>
      </c>
      <c r="E37" s="163" t="s">
        <v>148</v>
      </c>
      <c r="F37" s="163" t="s">
        <v>148</v>
      </c>
      <c r="G37" s="163" t="s">
        <v>148</v>
      </c>
      <c r="H37" s="163">
        <v>50.0</v>
      </c>
      <c r="I37" s="163">
        <v>700.0</v>
      </c>
      <c r="J37" s="163">
        <v>650.0</v>
      </c>
      <c r="K37" s="163"/>
      <c r="L37" s="163"/>
      <c r="M37" s="163"/>
      <c r="N37" s="163"/>
      <c r="O37" s="164"/>
      <c r="P37" s="165">
        <f t="shared" si="1"/>
        <v>1400</v>
      </c>
      <c r="Q37" s="166">
        <f t="shared" si="2"/>
        <v>1400</v>
      </c>
    </row>
    <row r="38" ht="12.0" customHeight="1">
      <c r="A38" s="160">
        <v>36.0</v>
      </c>
      <c r="B38" s="109">
        <v>904.0</v>
      </c>
      <c r="C38" s="161" t="s">
        <v>169</v>
      </c>
      <c r="D38" s="162" t="s">
        <v>148</v>
      </c>
      <c r="E38" s="163" t="s">
        <v>148</v>
      </c>
      <c r="F38" s="163" t="s">
        <v>148</v>
      </c>
      <c r="G38" s="163" t="s">
        <v>148</v>
      </c>
      <c r="H38" s="163" t="s">
        <v>148</v>
      </c>
      <c r="I38" s="163" t="s">
        <v>148</v>
      </c>
      <c r="J38" s="163" t="s">
        <v>148</v>
      </c>
      <c r="K38" s="163"/>
      <c r="L38" s="163"/>
      <c r="M38" s="163"/>
      <c r="N38" s="163"/>
      <c r="O38" s="164"/>
      <c r="P38" s="165">
        <f t="shared" si="1"/>
        <v>0</v>
      </c>
      <c r="Q38" s="166">
        <f t="shared" si="2"/>
        <v>0</v>
      </c>
    </row>
    <row r="39" ht="12.0" customHeight="1">
      <c r="A39" s="160">
        <v>37.0</v>
      </c>
      <c r="B39" s="109">
        <v>1001.0</v>
      </c>
      <c r="C39" s="161" t="s">
        <v>170</v>
      </c>
      <c r="D39" s="162" t="s">
        <v>148</v>
      </c>
      <c r="E39" s="163" t="s">
        <v>148</v>
      </c>
      <c r="F39" s="163" t="s">
        <v>148</v>
      </c>
      <c r="G39" s="163" t="s">
        <v>148</v>
      </c>
      <c r="H39" s="163" t="s">
        <v>148</v>
      </c>
      <c r="I39" s="163" t="s">
        <v>148</v>
      </c>
      <c r="J39" s="163">
        <v>650.0</v>
      </c>
      <c r="K39" s="163"/>
      <c r="L39" s="163"/>
      <c r="M39" s="163"/>
      <c r="N39" s="163"/>
      <c r="O39" s="164"/>
      <c r="P39" s="165">
        <f t="shared" si="1"/>
        <v>650</v>
      </c>
      <c r="Q39" s="166">
        <f t="shared" si="2"/>
        <v>650</v>
      </c>
    </row>
    <row r="40" ht="12.0" customHeight="1">
      <c r="A40" s="169">
        <v>38.0</v>
      </c>
      <c r="B40" s="170">
        <v>1002.0</v>
      </c>
      <c r="C40" s="171" t="s">
        <v>171</v>
      </c>
      <c r="D40" s="172">
        <v>20000.0</v>
      </c>
      <c r="E40" s="173">
        <v>500.0</v>
      </c>
      <c r="F40" s="173">
        <v>500.0</v>
      </c>
      <c r="G40" s="173">
        <v>500.0</v>
      </c>
      <c r="H40" s="173">
        <v>500.0</v>
      </c>
      <c r="I40" s="173">
        <v>500.0</v>
      </c>
      <c r="J40" s="173">
        <v>500.0</v>
      </c>
      <c r="K40" s="173"/>
      <c r="L40" s="173"/>
      <c r="M40" s="173"/>
      <c r="N40" s="173"/>
      <c r="O40" s="174"/>
      <c r="P40" s="175">
        <f t="shared" si="1"/>
        <v>23000</v>
      </c>
      <c r="Q40" s="176">
        <f t="shared" si="2"/>
        <v>23000</v>
      </c>
      <c r="R40" s="159"/>
      <c r="S40" s="159"/>
      <c r="T40" s="159"/>
      <c r="U40" s="159"/>
      <c r="V40" s="159"/>
      <c r="W40" s="159"/>
      <c r="X40" s="159"/>
      <c r="Y40" s="159"/>
      <c r="Z40" s="159"/>
    </row>
    <row r="41" ht="12.0" customHeight="1">
      <c r="A41" s="160">
        <v>39.0</v>
      </c>
      <c r="B41" s="109">
        <v>1003.0</v>
      </c>
      <c r="C41" s="161" t="s">
        <v>172</v>
      </c>
      <c r="D41" s="162" t="s">
        <v>148</v>
      </c>
      <c r="E41" s="163" t="s">
        <v>148</v>
      </c>
      <c r="F41" s="163" t="s">
        <v>148</v>
      </c>
      <c r="G41" s="163" t="s">
        <v>148</v>
      </c>
      <c r="H41" s="163">
        <v>130.0</v>
      </c>
      <c r="I41" s="163">
        <v>500.0</v>
      </c>
      <c r="J41" s="163">
        <v>500.0</v>
      </c>
      <c r="K41" s="163"/>
      <c r="L41" s="163"/>
      <c r="M41" s="163"/>
      <c r="N41" s="163"/>
      <c r="O41" s="164"/>
      <c r="P41" s="165">
        <f t="shared" si="1"/>
        <v>1130</v>
      </c>
      <c r="Q41" s="166">
        <f t="shared" si="2"/>
        <v>1130</v>
      </c>
      <c r="R41" s="177"/>
    </row>
    <row r="42" ht="12.0" customHeight="1">
      <c r="A42" s="178">
        <v>40.0</v>
      </c>
      <c r="B42" s="129">
        <v>1004.0</v>
      </c>
      <c r="C42" s="179" t="s">
        <v>173</v>
      </c>
      <c r="D42" s="180" t="s">
        <v>148</v>
      </c>
      <c r="E42" s="181" t="s">
        <v>148</v>
      </c>
      <c r="F42" s="181" t="s">
        <v>148</v>
      </c>
      <c r="G42" s="181" t="s">
        <v>148</v>
      </c>
      <c r="H42" s="182" t="s">
        <v>148</v>
      </c>
      <c r="I42" s="181" t="s">
        <v>148</v>
      </c>
      <c r="J42" s="181">
        <v>650.0</v>
      </c>
      <c r="K42" s="181"/>
      <c r="L42" s="181"/>
      <c r="M42" s="181"/>
      <c r="N42" s="181"/>
      <c r="O42" s="183"/>
      <c r="P42" s="184">
        <f t="shared" si="1"/>
        <v>650</v>
      </c>
      <c r="Q42" s="185">
        <f t="shared" si="2"/>
        <v>650</v>
      </c>
      <c r="R42" s="186"/>
    </row>
    <row r="43" ht="12.0" customHeight="1">
      <c r="A43" s="187"/>
      <c r="B43" s="187"/>
      <c r="C43" s="187"/>
      <c r="D43" s="188">
        <f t="shared" ref="D43:J43" si="3">SUM(D3:D42)</f>
        <v>20000</v>
      </c>
      <c r="E43" s="147">
        <f t="shared" si="3"/>
        <v>1200</v>
      </c>
      <c r="F43" s="147">
        <f t="shared" si="3"/>
        <v>1200</v>
      </c>
      <c r="G43" s="147">
        <f t="shared" si="3"/>
        <v>1900</v>
      </c>
      <c r="H43" s="147">
        <f t="shared" si="3"/>
        <v>3480</v>
      </c>
      <c r="I43" s="147">
        <f t="shared" si="3"/>
        <v>6900</v>
      </c>
      <c r="J43" s="147">
        <f t="shared" si="3"/>
        <v>14700</v>
      </c>
      <c r="K43" s="147"/>
      <c r="L43" s="147"/>
      <c r="M43" s="147"/>
      <c r="N43" s="147"/>
      <c r="O43" s="189"/>
      <c r="P43" s="190"/>
      <c r="Q43" s="190"/>
    </row>
    <row r="44" ht="12.0" customHeight="1">
      <c r="A44" s="187"/>
      <c r="B44" s="187"/>
      <c r="C44" s="187"/>
      <c r="D44" s="191"/>
      <c r="E44" s="191"/>
      <c r="F44" s="191"/>
      <c r="G44" s="191"/>
      <c r="H44" s="191"/>
      <c r="I44" s="192"/>
      <c r="P44" s="143"/>
      <c r="Q44" s="144"/>
    </row>
    <row r="45" ht="15.75" customHeight="1">
      <c r="D45" s="191"/>
      <c r="E45" s="191"/>
      <c r="F45" s="191"/>
      <c r="G45" s="191"/>
      <c r="P45" s="143"/>
      <c r="Q45" s="144"/>
    </row>
    <row r="46" ht="15.75" customHeight="1">
      <c r="P46" s="143"/>
      <c r="Q46" s="144"/>
    </row>
    <row r="47" ht="15.75" customHeight="1">
      <c r="P47" s="143"/>
      <c r="Q47" s="144"/>
    </row>
    <row r="48" ht="15.75" customHeight="1">
      <c r="P48" s="143"/>
      <c r="Q48" s="144"/>
    </row>
    <row r="49" ht="15.75" customHeight="1">
      <c r="P49" s="143"/>
      <c r="Q49" s="144"/>
    </row>
    <row r="50" ht="15.75" customHeight="1">
      <c r="P50" s="143"/>
      <c r="Q50" s="144"/>
    </row>
    <row r="51" ht="15.75" customHeight="1">
      <c r="P51" s="143"/>
      <c r="Q51" s="144"/>
    </row>
    <row r="52" ht="15.75" customHeight="1">
      <c r="P52" s="143"/>
      <c r="Q52" s="144"/>
    </row>
    <row r="53" ht="15.75" customHeight="1">
      <c r="P53" s="143"/>
      <c r="Q53" s="144"/>
    </row>
    <row r="54" ht="15.75" customHeight="1">
      <c r="P54" s="143"/>
      <c r="Q54" s="144"/>
    </row>
    <row r="55" ht="15.75" customHeight="1">
      <c r="P55" s="143"/>
      <c r="Q55" s="144"/>
    </row>
    <row r="56" ht="15.75" customHeight="1">
      <c r="P56" s="143"/>
      <c r="Q56" s="144"/>
    </row>
    <row r="57" ht="15.75" customHeight="1">
      <c r="P57" s="143"/>
      <c r="Q57" s="144"/>
    </row>
    <row r="58" ht="15.75" customHeight="1">
      <c r="P58" s="143"/>
      <c r="Q58" s="144"/>
    </row>
    <row r="59" ht="15.75" customHeight="1">
      <c r="P59" s="143"/>
      <c r="Q59" s="144"/>
    </row>
    <row r="60" ht="15.75" customHeight="1">
      <c r="P60" s="143"/>
      <c r="Q60" s="144"/>
    </row>
    <row r="61" ht="15.75" customHeight="1">
      <c r="P61" s="143"/>
      <c r="Q61" s="144"/>
    </row>
    <row r="62" ht="15.75" customHeight="1">
      <c r="P62" s="143"/>
      <c r="Q62" s="144"/>
    </row>
    <row r="63" ht="15.75" customHeight="1">
      <c r="P63" s="143"/>
      <c r="Q63" s="144"/>
    </row>
    <row r="64" ht="15.75" customHeight="1">
      <c r="P64" s="143"/>
      <c r="Q64" s="144"/>
    </row>
    <row r="65" ht="15.75" customHeight="1">
      <c r="P65" s="143"/>
      <c r="Q65" s="144"/>
    </row>
    <row r="66" ht="15.75" customHeight="1">
      <c r="P66" s="143"/>
      <c r="Q66" s="144"/>
    </row>
    <row r="67" ht="15.75" customHeight="1">
      <c r="P67" s="143"/>
      <c r="Q67" s="144"/>
    </row>
    <row r="68" ht="15.75" customHeight="1">
      <c r="P68" s="143"/>
      <c r="Q68" s="144"/>
    </row>
    <row r="69" ht="15.75" customHeight="1">
      <c r="P69" s="143"/>
      <c r="Q69" s="144"/>
    </row>
    <row r="70" ht="15.75" customHeight="1">
      <c r="P70" s="143"/>
      <c r="Q70" s="144"/>
    </row>
    <row r="71" ht="15.75" customHeight="1">
      <c r="P71" s="143"/>
      <c r="Q71" s="144"/>
    </row>
    <row r="72" ht="15.75" customHeight="1">
      <c r="P72" s="143"/>
      <c r="Q72" s="144"/>
    </row>
    <row r="73" ht="15.75" customHeight="1">
      <c r="P73" s="143"/>
      <c r="Q73" s="144"/>
    </row>
    <row r="74" ht="15.75" customHeight="1">
      <c r="P74" s="143"/>
      <c r="Q74" s="144"/>
    </row>
    <row r="75" ht="15.75" customHeight="1">
      <c r="P75" s="143"/>
      <c r="Q75" s="144"/>
    </row>
    <row r="76" ht="15.75" customHeight="1">
      <c r="P76" s="143"/>
      <c r="Q76" s="144"/>
    </row>
    <row r="77" ht="15.75" customHeight="1">
      <c r="P77" s="143"/>
      <c r="Q77" s="144"/>
    </row>
    <row r="78" ht="15.75" customHeight="1">
      <c r="P78" s="143"/>
      <c r="Q78" s="144"/>
    </row>
    <row r="79" ht="15.75" customHeight="1">
      <c r="P79" s="143"/>
      <c r="Q79" s="144"/>
    </row>
    <row r="80" ht="15.75" customHeight="1">
      <c r="P80" s="143"/>
      <c r="Q80" s="144"/>
    </row>
    <row r="81" ht="15.75" customHeight="1">
      <c r="P81" s="143"/>
      <c r="Q81" s="144"/>
    </row>
    <row r="82" ht="15.75" customHeight="1">
      <c r="P82" s="143"/>
      <c r="Q82" s="144"/>
    </row>
    <row r="83" ht="15.75" customHeight="1">
      <c r="P83" s="143"/>
      <c r="Q83" s="144"/>
    </row>
    <row r="84" ht="15.75" customHeight="1">
      <c r="P84" s="143"/>
      <c r="Q84" s="144"/>
    </row>
    <row r="85" ht="15.75" customHeight="1">
      <c r="P85" s="143"/>
      <c r="Q85" s="144"/>
    </row>
    <row r="86" ht="15.75" customHeight="1">
      <c r="P86" s="143"/>
      <c r="Q86" s="144"/>
    </row>
    <row r="87" ht="15.75" customHeight="1">
      <c r="P87" s="143"/>
      <c r="Q87" s="144"/>
    </row>
    <row r="88" ht="15.75" customHeight="1">
      <c r="P88" s="143"/>
      <c r="Q88" s="144"/>
    </row>
    <row r="89" ht="15.75" customHeight="1">
      <c r="P89" s="143"/>
      <c r="Q89" s="144"/>
    </row>
    <row r="90" ht="15.75" customHeight="1">
      <c r="P90" s="143"/>
      <c r="Q90" s="144"/>
    </row>
    <row r="91" ht="15.75" customHeight="1">
      <c r="P91" s="143"/>
      <c r="Q91" s="144"/>
    </row>
    <row r="92" ht="15.75" customHeight="1">
      <c r="P92" s="143"/>
      <c r="Q92" s="144"/>
    </row>
    <row r="93" ht="15.75" customHeight="1">
      <c r="P93" s="143"/>
      <c r="Q93" s="144"/>
    </row>
    <row r="94" ht="15.75" customHeight="1">
      <c r="P94" s="143"/>
      <c r="Q94" s="144"/>
    </row>
    <row r="95" ht="15.75" customHeight="1">
      <c r="P95" s="143"/>
      <c r="Q95" s="144"/>
    </row>
    <row r="96" ht="15.75" customHeight="1">
      <c r="P96" s="143"/>
      <c r="Q96" s="144"/>
    </row>
    <row r="97" ht="15.75" customHeight="1">
      <c r="P97" s="143"/>
      <c r="Q97" s="144"/>
    </row>
    <row r="98" ht="15.75" customHeight="1">
      <c r="P98" s="143"/>
      <c r="Q98" s="144"/>
    </row>
    <row r="99" ht="15.75" customHeight="1">
      <c r="P99" s="143"/>
      <c r="Q99" s="144"/>
    </row>
    <row r="100" ht="15.75" customHeight="1">
      <c r="P100" s="143"/>
      <c r="Q100" s="144"/>
    </row>
    <row r="101" ht="15.75" customHeight="1">
      <c r="P101" s="143"/>
      <c r="Q101" s="144"/>
    </row>
    <row r="102" ht="15.75" customHeight="1">
      <c r="P102" s="143"/>
      <c r="Q102" s="144"/>
    </row>
    <row r="103" ht="15.75" customHeight="1">
      <c r="P103" s="143"/>
      <c r="Q103" s="144"/>
    </row>
    <row r="104" ht="15.75" customHeight="1">
      <c r="P104" s="143"/>
      <c r="Q104" s="144"/>
    </row>
    <row r="105" ht="15.75" customHeight="1">
      <c r="P105" s="143"/>
      <c r="Q105" s="144"/>
    </row>
    <row r="106" ht="15.75" customHeight="1">
      <c r="P106" s="143"/>
      <c r="Q106" s="144"/>
    </row>
    <row r="107" ht="15.75" customHeight="1">
      <c r="P107" s="143"/>
      <c r="Q107" s="144"/>
    </row>
    <row r="108" ht="15.75" customHeight="1">
      <c r="P108" s="143"/>
      <c r="Q108" s="144"/>
    </row>
    <row r="109" ht="15.75" customHeight="1">
      <c r="P109" s="143"/>
      <c r="Q109" s="144"/>
    </row>
    <row r="110" ht="15.75" customHeight="1">
      <c r="P110" s="143"/>
      <c r="Q110" s="144"/>
    </row>
    <row r="111" ht="15.75" customHeight="1">
      <c r="P111" s="143"/>
      <c r="Q111" s="144"/>
    </row>
    <row r="112" ht="15.75" customHeight="1">
      <c r="P112" s="143"/>
      <c r="Q112" s="144"/>
    </row>
    <row r="113" ht="15.75" customHeight="1">
      <c r="P113" s="143"/>
      <c r="Q113" s="144"/>
    </row>
    <row r="114" ht="15.75" customHeight="1">
      <c r="P114" s="143"/>
      <c r="Q114" s="144"/>
    </row>
    <row r="115" ht="15.75" customHeight="1">
      <c r="P115" s="143"/>
      <c r="Q115" s="144"/>
    </row>
    <row r="116" ht="15.75" customHeight="1">
      <c r="P116" s="143"/>
      <c r="Q116" s="144"/>
    </row>
    <row r="117" ht="15.75" customHeight="1">
      <c r="P117" s="143"/>
      <c r="Q117" s="144"/>
    </row>
    <row r="118" ht="15.75" customHeight="1">
      <c r="P118" s="143"/>
      <c r="Q118" s="144"/>
    </row>
    <row r="119" ht="15.75" customHeight="1">
      <c r="P119" s="143"/>
      <c r="Q119" s="144"/>
    </row>
    <row r="120" ht="15.75" customHeight="1">
      <c r="P120" s="143"/>
      <c r="Q120" s="144"/>
    </row>
    <row r="121" ht="15.75" customHeight="1">
      <c r="P121" s="143"/>
      <c r="Q121" s="144"/>
    </row>
    <row r="122" ht="15.75" customHeight="1">
      <c r="P122" s="143"/>
      <c r="Q122" s="144"/>
    </row>
    <row r="123" ht="15.75" customHeight="1">
      <c r="P123" s="143"/>
      <c r="Q123" s="144"/>
    </row>
    <row r="124" ht="15.75" customHeight="1">
      <c r="P124" s="143"/>
      <c r="Q124" s="144"/>
    </row>
    <row r="125" ht="15.75" customHeight="1">
      <c r="P125" s="143"/>
      <c r="Q125" s="144"/>
    </row>
    <row r="126" ht="15.75" customHeight="1">
      <c r="P126" s="143"/>
      <c r="Q126" s="144"/>
    </row>
    <row r="127" ht="15.75" customHeight="1">
      <c r="P127" s="143"/>
      <c r="Q127" s="144"/>
    </row>
    <row r="128" ht="15.75" customHeight="1">
      <c r="P128" s="143"/>
      <c r="Q128" s="144"/>
    </row>
    <row r="129" ht="15.75" customHeight="1">
      <c r="P129" s="143"/>
      <c r="Q129" s="144"/>
    </row>
    <row r="130" ht="15.75" customHeight="1">
      <c r="P130" s="143"/>
      <c r="Q130" s="144"/>
    </row>
    <row r="131" ht="15.75" customHeight="1">
      <c r="P131" s="143"/>
      <c r="Q131" s="144"/>
    </row>
    <row r="132" ht="15.75" customHeight="1">
      <c r="P132" s="143"/>
      <c r="Q132" s="144"/>
    </row>
    <row r="133" ht="15.75" customHeight="1">
      <c r="P133" s="143"/>
      <c r="Q133" s="144"/>
    </row>
    <row r="134" ht="15.75" customHeight="1">
      <c r="P134" s="143"/>
      <c r="Q134" s="144"/>
    </row>
    <row r="135" ht="15.75" customHeight="1">
      <c r="P135" s="143"/>
      <c r="Q135" s="144"/>
    </row>
    <row r="136" ht="15.75" customHeight="1">
      <c r="P136" s="143"/>
      <c r="Q136" s="144"/>
    </row>
    <row r="137" ht="15.75" customHeight="1">
      <c r="P137" s="143"/>
      <c r="Q137" s="144"/>
    </row>
    <row r="138" ht="15.75" customHeight="1">
      <c r="P138" s="143"/>
      <c r="Q138" s="144"/>
    </row>
    <row r="139" ht="15.75" customHeight="1">
      <c r="P139" s="143"/>
      <c r="Q139" s="144"/>
    </row>
    <row r="140" ht="15.75" customHeight="1">
      <c r="P140" s="143"/>
      <c r="Q140" s="144"/>
    </row>
    <row r="141" ht="15.75" customHeight="1">
      <c r="P141" s="143"/>
      <c r="Q141" s="144"/>
    </row>
    <row r="142" ht="15.75" customHeight="1">
      <c r="P142" s="143"/>
      <c r="Q142" s="144"/>
    </row>
    <row r="143" ht="15.75" customHeight="1">
      <c r="P143" s="143"/>
      <c r="Q143" s="144"/>
    </row>
    <row r="144" ht="15.75" customHeight="1">
      <c r="P144" s="143"/>
      <c r="Q144" s="144"/>
    </row>
    <row r="145" ht="15.75" customHeight="1">
      <c r="P145" s="143"/>
      <c r="Q145" s="144"/>
    </row>
    <row r="146" ht="15.75" customHeight="1">
      <c r="P146" s="143"/>
      <c r="Q146" s="144"/>
    </row>
    <row r="147" ht="15.75" customHeight="1">
      <c r="P147" s="143"/>
      <c r="Q147" s="144"/>
    </row>
    <row r="148" ht="15.75" customHeight="1">
      <c r="P148" s="143"/>
      <c r="Q148" s="144"/>
    </row>
    <row r="149" ht="15.75" customHeight="1">
      <c r="P149" s="143"/>
      <c r="Q149" s="144"/>
    </row>
    <row r="150" ht="15.75" customHeight="1">
      <c r="P150" s="143"/>
      <c r="Q150" s="144"/>
    </row>
    <row r="151" ht="15.75" customHeight="1">
      <c r="P151" s="143"/>
      <c r="Q151" s="144"/>
    </row>
    <row r="152" ht="15.75" customHeight="1">
      <c r="P152" s="143"/>
      <c r="Q152" s="144"/>
    </row>
    <row r="153" ht="15.75" customHeight="1">
      <c r="P153" s="143"/>
      <c r="Q153" s="144"/>
    </row>
    <row r="154" ht="15.75" customHeight="1">
      <c r="P154" s="143"/>
      <c r="Q154" s="144"/>
    </row>
    <row r="155" ht="15.75" customHeight="1">
      <c r="P155" s="143"/>
      <c r="Q155" s="144"/>
    </row>
    <row r="156" ht="15.75" customHeight="1">
      <c r="P156" s="143"/>
      <c r="Q156" s="144"/>
    </row>
    <row r="157" ht="15.75" customHeight="1">
      <c r="P157" s="143"/>
      <c r="Q157" s="144"/>
    </row>
    <row r="158" ht="15.75" customHeight="1">
      <c r="P158" s="143"/>
      <c r="Q158" s="144"/>
    </row>
    <row r="159" ht="15.75" customHeight="1">
      <c r="P159" s="143"/>
      <c r="Q159" s="144"/>
    </row>
    <row r="160" ht="15.75" customHeight="1">
      <c r="P160" s="143"/>
      <c r="Q160" s="144"/>
    </row>
    <row r="161" ht="15.75" customHeight="1">
      <c r="P161" s="143"/>
      <c r="Q161" s="144"/>
    </row>
    <row r="162" ht="15.75" customHeight="1">
      <c r="P162" s="143"/>
      <c r="Q162" s="144"/>
    </row>
    <row r="163" ht="15.75" customHeight="1">
      <c r="P163" s="143"/>
      <c r="Q163" s="144"/>
    </row>
    <row r="164" ht="15.75" customHeight="1">
      <c r="P164" s="143"/>
      <c r="Q164" s="144"/>
    </row>
    <row r="165" ht="15.75" customHeight="1">
      <c r="P165" s="143"/>
      <c r="Q165" s="144"/>
    </row>
    <row r="166" ht="15.75" customHeight="1">
      <c r="P166" s="143"/>
      <c r="Q166" s="144"/>
    </row>
    <row r="167" ht="15.75" customHeight="1">
      <c r="P167" s="143"/>
      <c r="Q167" s="144"/>
    </row>
    <row r="168" ht="15.75" customHeight="1">
      <c r="P168" s="143"/>
      <c r="Q168" s="144"/>
    </row>
    <row r="169" ht="15.75" customHeight="1">
      <c r="P169" s="143"/>
      <c r="Q169" s="144"/>
    </row>
    <row r="170" ht="15.75" customHeight="1">
      <c r="P170" s="143"/>
      <c r="Q170" s="144"/>
    </row>
    <row r="171" ht="15.75" customHeight="1">
      <c r="P171" s="143"/>
      <c r="Q171" s="144"/>
    </row>
    <row r="172" ht="15.75" customHeight="1">
      <c r="P172" s="143"/>
      <c r="Q172" s="144"/>
    </row>
    <row r="173" ht="15.75" customHeight="1">
      <c r="P173" s="143"/>
      <c r="Q173" s="144"/>
    </row>
    <row r="174" ht="15.75" customHeight="1">
      <c r="P174" s="143"/>
      <c r="Q174" s="144"/>
    </row>
    <row r="175" ht="15.75" customHeight="1">
      <c r="P175" s="143"/>
      <c r="Q175" s="144"/>
    </row>
    <row r="176" ht="15.75" customHeight="1">
      <c r="P176" s="143"/>
      <c r="Q176" s="144"/>
    </row>
    <row r="177" ht="15.75" customHeight="1">
      <c r="P177" s="143"/>
      <c r="Q177" s="144"/>
    </row>
    <row r="178" ht="15.75" customHeight="1">
      <c r="P178" s="143"/>
      <c r="Q178" s="144"/>
    </row>
    <row r="179" ht="15.75" customHeight="1">
      <c r="P179" s="143"/>
      <c r="Q179" s="144"/>
    </row>
    <row r="180" ht="15.75" customHeight="1">
      <c r="P180" s="143"/>
      <c r="Q180" s="144"/>
    </row>
    <row r="181" ht="15.75" customHeight="1">
      <c r="P181" s="143"/>
      <c r="Q181" s="144"/>
    </row>
    <row r="182" ht="15.75" customHeight="1">
      <c r="P182" s="143"/>
      <c r="Q182" s="144"/>
    </row>
    <row r="183" ht="15.75" customHeight="1">
      <c r="P183" s="143"/>
      <c r="Q183" s="144"/>
    </row>
    <row r="184" ht="15.75" customHeight="1">
      <c r="P184" s="143"/>
      <c r="Q184" s="144"/>
    </row>
    <row r="185" ht="15.75" customHeight="1">
      <c r="P185" s="143"/>
      <c r="Q185" s="144"/>
    </row>
    <row r="186" ht="15.75" customHeight="1">
      <c r="P186" s="143"/>
      <c r="Q186" s="144"/>
    </row>
    <row r="187" ht="15.75" customHeight="1">
      <c r="P187" s="143"/>
      <c r="Q187" s="144"/>
    </row>
    <row r="188" ht="15.75" customHeight="1">
      <c r="P188" s="143"/>
      <c r="Q188" s="144"/>
    </row>
    <row r="189" ht="15.75" customHeight="1">
      <c r="P189" s="143"/>
      <c r="Q189" s="144"/>
    </row>
    <row r="190" ht="15.75" customHeight="1">
      <c r="P190" s="143"/>
      <c r="Q190" s="144"/>
    </row>
    <row r="191" ht="15.75" customHeight="1">
      <c r="P191" s="143"/>
      <c r="Q191" s="144"/>
    </row>
    <row r="192" ht="15.75" customHeight="1">
      <c r="P192" s="143"/>
      <c r="Q192" s="144"/>
    </row>
    <row r="193" ht="15.75" customHeight="1">
      <c r="P193" s="143"/>
      <c r="Q193" s="144"/>
    </row>
    <row r="194" ht="15.75" customHeight="1">
      <c r="P194" s="143"/>
      <c r="Q194" s="144"/>
    </row>
    <row r="195" ht="15.75" customHeight="1">
      <c r="P195" s="143"/>
      <c r="Q195" s="144"/>
    </row>
    <row r="196" ht="15.75" customHeight="1">
      <c r="P196" s="143"/>
      <c r="Q196" s="144"/>
    </row>
    <row r="197" ht="15.75" customHeight="1">
      <c r="P197" s="143"/>
      <c r="Q197" s="144"/>
    </row>
    <row r="198" ht="15.75" customHeight="1">
      <c r="P198" s="143"/>
      <c r="Q198" s="144"/>
    </row>
    <row r="199" ht="15.75" customHeight="1">
      <c r="P199" s="143"/>
      <c r="Q199" s="144"/>
    </row>
    <row r="200" ht="15.75" customHeight="1">
      <c r="P200" s="143"/>
      <c r="Q200" s="144"/>
    </row>
    <row r="201" ht="15.75" customHeight="1">
      <c r="P201" s="143"/>
      <c r="Q201" s="144"/>
    </row>
    <row r="202" ht="15.75" customHeight="1">
      <c r="P202" s="143"/>
      <c r="Q202" s="144"/>
    </row>
    <row r="203" ht="15.75" customHeight="1">
      <c r="P203" s="143"/>
      <c r="Q203" s="144"/>
    </row>
    <row r="204" ht="15.75" customHeight="1">
      <c r="P204" s="143"/>
      <c r="Q204" s="144"/>
    </row>
    <row r="205" ht="15.75" customHeight="1">
      <c r="P205" s="143"/>
      <c r="Q205" s="144"/>
    </row>
    <row r="206" ht="15.75" customHeight="1">
      <c r="P206" s="143"/>
      <c r="Q206" s="144"/>
    </row>
    <row r="207" ht="15.75" customHeight="1">
      <c r="P207" s="143"/>
      <c r="Q207" s="144"/>
    </row>
    <row r="208" ht="15.75" customHeight="1">
      <c r="P208" s="143"/>
      <c r="Q208" s="144"/>
    </row>
    <row r="209" ht="15.75" customHeight="1">
      <c r="P209" s="143"/>
      <c r="Q209" s="144"/>
    </row>
    <row r="210" ht="15.75" customHeight="1">
      <c r="P210" s="143"/>
      <c r="Q210" s="144"/>
    </row>
    <row r="211" ht="15.75" customHeight="1">
      <c r="P211" s="143"/>
      <c r="Q211" s="144"/>
    </row>
    <row r="212" ht="15.75" customHeight="1">
      <c r="P212" s="143"/>
      <c r="Q212" s="144"/>
    </row>
    <row r="213" ht="15.75" customHeight="1">
      <c r="P213" s="143"/>
      <c r="Q213" s="144"/>
    </row>
    <row r="214" ht="15.75" customHeight="1">
      <c r="P214" s="143"/>
      <c r="Q214" s="144"/>
    </row>
    <row r="215" ht="15.75" customHeight="1">
      <c r="P215" s="143"/>
      <c r="Q215" s="144"/>
    </row>
    <row r="216" ht="15.75" customHeight="1">
      <c r="P216" s="143"/>
      <c r="Q216" s="144"/>
    </row>
    <row r="217" ht="15.75" customHeight="1">
      <c r="P217" s="143"/>
      <c r="Q217" s="144"/>
    </row>
    <row r="218" ht="15.75" customHeight="1">
      <c r="P218" s="143"/>
      <c r="Q218" s="144"/>
    </row>
    <row r="219" ht="15.75" customHeight="1">
      <c r="P219" s="143"/>
      <c r="Q219" s="144"/>
    </row>
    <row r="220" ht="15.75" customHeight="1">
      <c r="P220" s="143"/>
      <c r="Q220" s="144"/>
    </row>
    <row r="221" ht="15.75" customHeight="1">
      <c r="P221" s="143"/>
      <c r="Q221" s="144"/>
    </row>
    <row r="222" ht="15.75" customHeight="1">
      <c r="P222" s="143"/>
      <c r="Q222" s="144"/>
    </row>
    <row r="223" ht="15.75" customHeight="1">
      <c r="P223" s="143"/>
      <c r="Q223" s="144"/>
    </row>
    <row r="224" ht="15.75" customHeight="1">
      <c r="P224" s="143"/>
      <c r="Q224" s="144"/>
    </row>
    <row r="225" ht="15.75" customHeight="1">
      <c r="P225" s="143"/>
      <c r="Q225" s="144"/>
    </row>
    <row r="226" ht="15.75" customHeight="1">
      <c r="P226" s="143"/>
      <c r="Q226" s="144"/>
    </row>
    <row r="227" ht="15.75" customHeight="1">
      <c r="P227" s="143"/>
      <c r="Q227" s="144"/>
    </row>
    <row r="228" ht="15.75" customHeight="1">
      <c r="P228" s="143"/>
      <c r="Q228" s="144"/>
    </row>
    <row r="229" ht="15.75" customHeight="1">
      <c r="P229" s="143"/>
      <c r="Q229" s="144"/>
    </row>
    <row r="230" ht="15.75" customHeight="1">
      <c r="P230" s="143"/>
      <c r="Q230" s="144"/>
    </row>
    <row r="231" ht="15.75" customHeight="1">
      <c r="P231" s="143"/>
      <c r="Q231" s="144"/>
    </row>
    <row r="232" ht="15.75" customHeight="1">
      <c r="P232" s="143"/>
      <c r="Q232" s="144"/>
    </row>
    <row r="233" ht="15.75" customHeight="1">
      <c r="P233" s="143"/>
      <c r="Q233" s="144"/>
    </row>
    <row r="234" ht="15.75" customHeight="1">
      <c r="P234" s="143"/>
      <c r="Q234" s="144"/>
    </row>
    <row r="235" ht="15.75" customHeight="1">
      <c r="P235" s="143"/>
      <c r="Q235" s="144"/>
    </row>
    <row r="236" ht="15.75" customHeight="1">
      <c r="P236" s="143"/>
      <c r="Q236" s="144"/>
    </row>
    <row r="237" ht="15.75" customHeight="1">
      <c r="P237" s="143"/>
      <c r="Q237" s="144"/>
    </row>
    <row r="238" ht="15.75" customHeight="1">
      <c r="P238" s="143"/>
      <c r="Q238" s="144"/>
    </row>
    <row r="239" ht="15.75" customHeight="1">
      <c r="P239" s="143"/>
      <c r="Q239" s="144"/>
    </row>
    <row r="240" ht="15.75" customHeight="1">
      <c r="P240" s="143"/>
      <c r="Q240" s="144"/>
    </row>
    <row r="241" ht="15.75" customHeight="1">
      <c r="P241" s="143"/>
      <c r="Q241" s="144"/>
    </row>
    <row r="242" ht="15.75" customHeight="1">
      <c r="P242" s="143"/>
      <c r="Q242" s="144"/>
    </row>
    <row r="243" ht="15.75" customHeight="1">
      <c r="P243" s="143"/>
      <c r="Q243" s="144"/>
    </row>
    <row r="244" ht="15.75" customHeight="1">
      <c r="P244" s="143"/>
      <c r="Q244" s="144"/>
    </row>
    <row r="245" ht="15.75" customHeight="1">
      <c r="P245" s="143"/>
      <c r="Q245" s="144"/>
    </row>
    <row r="246" ht="15.75" customHeight="1">
      <c r="P246" s="143"/>
      <c r="Q246" s="144"/>
    </row>
    <row r="247" ht="15.75" customHeight="1">
      <c r="P247" s="143"/>
      <c r="Q247" s="144"/>
    </row>
    <row r="248" ht="15.75" customHeight="1">
      <c r="P248" s="143"/>
      <c r="Q248" s="144"/>
    </row>
    <row r="249" ht="15.75" customHeight="1">
      <c r="P249" s="143"/>
      <c r="Q249" s="144"/>
    </row>
    <row r="250" ht="15.75" customHeight="1">
      <c r="P250" s="143"/>
      <c r="Q250" s="144"/>
    </row>
    <row r="251" ht="15.75" customHeight="1">
      <c r="P251" s="143"/>
      <c r="Q251" s="144"/>
    </row>
    <row r="252" ht="15.75" customHeight="1">
      <c r="P252" s="143"/>
      <c r="Q252" s="144"/>
    </row>
    <row r="253" ht="15.75" customHeight="1">
      <c r="P253" s="143"/>
      <c r="Q253" s="144"/>
    </row>
    <row r="254" ht="15.75" customHeight="1">
      <c r="P254" s="143"/>
      <c r="Q254" s="144"/>
    </row>
    <row r="255" ht="15.75" customHeight="1">
      <c r="P255" s="143"/>
      <c r="Q255" s="144"/>
    </row>
    <row r="256" ht="15.75" customHeight="1">
      <c r="P256" s="143"/>
      <c r="Q256" s="144"/>
    </row>
    <row r="257" ht="15.75" customHeight="1">
      <c r="P257" s="143"/>
      <c r="Q257" s="144"/>
    </row>
    <row r="258" ht="15.75" customHeight="1">
      <c r="P258" s="143"/>
      <c r="Q258" s="144"/>
    </row>
    <row r="259" ht="15.75" customHeight="1">
      <c r="P259" s="143"/>
      <c r="Q259" s="144"/>
    </row>
    <row r="260" ht="15.75" customHeight="1">
      <c r="P260" s="143"/>
      <c r="Q260" s="144"/>
    </row>
    <row r="261" ht="15.75" customHeight="1">
      <c r="P261" s="143"/>
      <c r="Q261" s="144"/>
    </row>
    <row r="262" ht="15.75" customHeight="1">
      <c r="P262" s="143"/>
      <c r="Q262" s="144"/>
    </row>
    <row r="263" ht="15.75" customHeight="1">
      <c r="P263" s="143"/>
      <c r="Q263" s="144"/>
    </row>
    <row r="264" ht="15.75" customHeight="1">
      <c r="P264" s="143"/>
      <c r="Q264" s="144"/>
    </row>
    <row r="265" ht="15.75" customHeight="1">
      <c r="P265" s="143"/>
      <c r="Q265" s="144"/>
    </row>
    <row r="266" ht="15.75" customHeight="1">
      <c r="P266" s="143"/>
      <c r="Q266" s="144"/>
    </row>
    <row r="267" ht="15.75" customHeight="1">
      <c r="P267" s="143"/>
      <c r="Q267" s="144"/>
    </row>
    <row r="268" ht="15.75" customHeight="1">
      <c r="P268" s="143"/>
      <c r="Q268" s="144"/>
    </row>
    <row r="269" ht="15.75" customHeight="1">
      <c r="P269" s="143"/>
      <c r="Q269" s="144"/>
    </row>
    <row r="270" ht="15.75" customHeight="1">
      <c r="P270" s="143"/>
      <c r="Q270" s="144"/>
    </row>
    <row r="271" ht="15.75" customHeight="1">
      <c r="P271" s="143"/>
      <c r="Q271" s="144"/>
    </row>
    <row r="272" ht="15.75" customHeight="1">
      <c r="P272" s="143"/>
      <c r="Q272" s="144"/>
    </row>
    <row r="273" ht="15.75" customHeight="1">
      <c r="P273" s="143"/>
      <c r="Q273" s="144"/>
    </row>
    <row r="274" ht="15.75" customHeight="1">
      <c r="P274" s="143"/>
      <c r="Q274" s="144"/>
    </row>
    <row r="275" ht="15.75" customHeight="1">
      <c r="P275" s="143"/>
      <c r="Q275" s="144"/>
    </row>
    <row r="276" ht="15.75" customHeight="1">
      <c r="P276" s="143"/>
      <c r="Q276" s="144"/>
    </row>
    <row r="277" ht="15.75" customHeight="1">
      <c r="P277" s="143"/>
      <c r="Q277" s="144"/>
    </row>
    <row r="278" ht="15.75" customHeight="1">
      <c r="P278" s="143"/>
      <c r="Q278" s="144"/>
    </row>
    <row r="279" ht="15.75" customHeight="1">
      <c r="P279" s="143"/>
      <c r="Q279" s="144"/>
    </row>
    <row r="280" ht="15.75" customHeight="1">
      <c r="P280" s="143"/>
      <c r="Q280" s="144"/>
    </row>
    <row r="281" ht="15.75" customHeight="1">
      <c r="P281" s="143"/>
      <c r="Q281" s="144"/>
    </row>
    <row r="282" ht="15.75" customHeight="1">
      <c r="P282" s="143"/>
      <c r="Q282" s="144"/>
    </row>
    <row r="283" ht="15.75" customHeight="1">
      <c r="P283" s="143"/>
      <c r="Q283" s="144"/>
    </row>
    <row r="284" ht="15.75" customHeight="1">
      <c r="P284" s="143"/>
      <c r="Q284" s="144"/>
    </row>
    <row r="285" ht="15.75" customHeight="1">
      <c r="P285" s="143"/>
      <c r="Q285" s="144"/>
    </row>
    <row r="286" ht="15.75" customHeight="1">
      <c r="P286" s="143"/>
      <c r="Q286" s="144"/>
    </row>
    <row r="287" ht="15.75" customHeight="1">
      <c r="P287" s="143"/>
      <c r="Q287" s="144"/>
    </row>
    <row r="288" ht="15.75" customHeight="1">
      <c r="P288" s="143"/>
      <c r="Q288" s="144"/>
    </row>
    <row r="289" ht="15.75" customHeight="1">
      <c r="P289" s="143"/>
      <c r="Q289" s="144"/>
    </row>
    <row r="290" ht="15.75" customHeight="1">
      <c r="P290" s="143"/>
      <c r="Q290" s="144"/>
    </row>
    <row r="291" ht="15.75" customHeight="1">
      <c r="P291" s="143"/>
      <c r="Q291" s="144"/>
    </row>
    <row r="292" ht="15.75" customHeight="1">
      <c r="P292" s="143"/>
      <c r="Q292" s="144"/>
    </row>
    <row r="293" ht="15.75" customHeight="1">
      <c r="P293" s="143"/>
      <c r="Q293" s="144"/>
    </row>
    <row r="294" ht="15.75" customHeight="1">
      <c r="P294" s="143"/>
      <c r="Q294" s="144"/>
    </row>
    <row r="295" ht="15.75" customHeight="1">
      <c r="P295" s="143"/>
      <c r="Q295" s="144"/>
    </row>
    <row r="296" ht="15.75" customHeight="1">
      <c r="P296" s="143"/>
      <c r="Q296" s="144"/>
    </row>
    <row r="297" ht="15.75" customHeight="1">
      <c r="P297" s="143"/>
      <c r="Q297" s="144"/>
    </row>
    <row r="298" ht="15.75" customHeight="1">
      <c r="P298" s="143"/>
      <c r="Q298" s="144"/>
    </row>
    <row r="299" ht="15.75" customHeight="1">
      <c r="P299" s="143"/>
      <c r="Q299" s="144"/>
    </row>
    <row r="300" ht="15.75" customHeight="1">
      <c r="P300" s="143"/>
      <c r="Q300" s="144"/>
    </row>
    <row r="301" ht="15.75" customHeight="1">
      <c r="P301" s="143"/>
      <c r="Q301" s="144"/>
    </row>
    <row r="302" ht="15.75" customHeight="1">
      <c r="P302" s="143"/>
      <c r="Q302" s="144"/>
    </row>
    <row r="303" ht="15.75" customHeight="1">
      <c r="P303" s="143"/>
      <c r="Q303" s="144"/>
    </row>
    <row r="304" ht="15.75" customHeight="1">
      <c r="P304" s="143"/>
      <c r="Q304" s="144"/>
    </row>
    <row r="305" ht="15.75" customHeight="1">
      <c r="P305" s="143"/>
      <c r="Q305" s="144"/>
    </row>
    <row r="306" ht="15.75" customHeight="1">
      <c r="P306" s="143"/>
      <c r="Q306" s="144"/>
    </row>
    <row r="307" ht="15.75" customHeight="1">
      <c r="P307" s="143"/>
      <c r="Q307" s="144"/>
    </row>
    <row r="308" ht="15.75" customHeight="1">
      <c r="P308" s="143"/>
      <c r="Q308" s="144"/>
    </row>
    <row r="309" ht="15.75" customHeight="1">
      <c r="P309" s="143"/>
      <c r="Q309" s="144"/>
    </row>
    <row r="310" ht="15.75" customHeight="1">
      <c r="P310" s="143"/>
      <c r="Q310" s="144"/>
    </row>
    <row r="311" ht="15.75" customHeight="1">
      <c r="P311" s="143"/>
      <c r="Q311" s="144"/>
    </row>
    <row r="312" ht="15.75" customHeight="1">
      <c r="P312" s="143"/>
      <c r="Q312" s="144"/>
    </row>
    <row r="313" ht="15.75" customHeight="1">
      <c r="P313" s="143"/>
      <c r="Q313" s="144"/>
    </row>
    <row r="314" ht="15.75" customHeight="1">
      <c r="P314" s="143"/>
      <c r="Q314" s="144"/>
    </row>
    <row r="315" ht="15.75" customHeight="1">
      <c r="P315" s="143"/>
      <c r="Q315" s="144"/>
    </row>
    <row r="316" ht="15.75" customHeight="1">
      <c r="P316" s="143"/>
      <c r="Q316" s="144"/>
    </row>
    <row r="317" ht="15.75" customHeight="1">
      <c r="P317" s="143"/>
      <c r="Q317" s="144"/>
    </row>
    <row r="318" ht="15.75" customHeight="1">
      <c r="P318" s="143"/>
      <c r="Q318" s="144"/>
    </row>
    <row r="319" ht="15.75" customHeight="1">
      <c r="P319" s="143"/>
      <c r="Q319" s="144"/>
    </row>
    <row r="320" ht="15.75" customHeight="1">
      <c r="P320" s="143"/>
      <c r="Q320" s="144"/>
    </row>
    <row r="321" ht="15.75" customHeight="1">
      <c r="P321" s="143"/>
      <c r="Q321" s="144"/>
    </row>
    <row r="322" ht="15.75" customHeight="1">
      <c r="P322" s="143"/>
      <c r="Q322" s="144"/>
    </row>
    <row r="323" ht="15.75" customHeight="1">
      <c r="P323" s="143"/>
      <c r="Q323" s="144"/>
    </row>
    <row r="324" ht="15.75" customHeight="1">
      <c r="P324" s="143"/>
      <c r="Q324" s="144"/>
    </row>
    <row r="325" ht="15.75" customHeight="1">
      <c r="P325" s="143"/>
      <c r="Q325" s="144"/>
    </row>
    <row r="326" ht="15.75" customHeight="1">
      <c r="P326" s="143"/>
      <c r="Q326" s="144"/>
    </row>
    <row r="327" ht="15.75" customHeight="1">
      <c r="P327" s="143"/>
      <c r="Q327" s="144"/>
    </row>
    <row r="328" ht="15.75" customHeight="1">
      <c r="P328" s="143"/>
      <c r="Q328" s="144"/>
    </row>
    <row r="329" ht="15.75" customHeight="1">
      <c r="P329" s="143"/>
      <c r="Q329" s="144"/>
    </row>
    <row r="330" ht="15.75" customHeight="1">
      <c r="P330" s="143"/>
      <c r="Q330" s="144"/>
    </row>
    <row r="331" ht="15.75" customHeight="1">
      <c r="P331" s="143"/>
      <c r="Q331" s="144"/>
    </row>
    <row r="332" ht="15.75" customHeight="1">
      <c r="P332" s="143"/>
      <c r="Q332" s="144"/>
    </row>
    <row r="333" ht="15.75" customHeight="1">
      <c r="P333" s="143"/>
      <c r="Q333" s="144"/>
    </row>
    <row r="334" ht="15.75" customHeight="1">
      <c r="P334" s="143"/>
      <c r="Q334" s="144"/>
    </row>
    <row r="335" ht="15.75" customHeight="1">
      <c r="P335" s="143"/>
      <c r="Q335" s="144"/>
    </row>
    <row r="336" ht="15.75" customHeight="1">
      <c r="P336" s="143"/>
      <c r="Q336" s="144"/>
    </row>
    <row r="337" ht="15.75" customHeight="1">
      <c r="P337" s="143"/>
      <c r="Q337" s="144"/>
    </row>
    <row r="338" ht="15.75" customHeight="1">
      <c r="P338" s="143"/>
      <c r="Q338" s="144"/>
    </row>
    <row r="339" ht="15.75" customHeight="1">
      <c r="P339" s="143"/>
      <c r="Q339" s="144"/>
    </row>
    <row r="340" ht="15.75" customHeight="1">
      <c r="P340" s="143"/>
      <c r="Q340" s="144"/>
    </row>
    <row r="341" ht="15.75" customHeight="1">
      <c r="P341" s="143"/>
      <c r="Q341" s="144"/>
    </row>
    <row r="342" ht="15.75" customHeight="1">
      <c r="P342" s="143"/>
      <c r="Q342" s="144"/>
    </row>
    <row r="343" ht="15.75" customHeight="1">
      <c r="P343" s="143"/>
      <c r="Q343" s="144"/>
    </row>
    <row r="344" ht="15.75" customHeight="1">
      <c r="P344" s="143"/>
      <c r="Q344" s="144"/>
    </row>
    <row r="345" ht="15.75" customHeight="1">
      <c r="P345" s="143"/>
      <c r="Q345" s="144"/>
    </row>
    <row r="346" ht="15.75" customHeight="1">
      <c r="P346" s="143"/>
      <c r="Q346" s="144"/>
    </row>
    <row r="347" ht="15.75" customHeight="1">
      <c r="P347" s="143"/>
      <c r="Q347" s="144"/>
    </row>
    <row r="348" ht="15.75" customHeight="1">
      <c r="P348" s="143"/>
      <c r="Q348" s="144"/>
    </row>
    <row r="349" ht="15.75" customHeight="1">
      <c r="P349" s="143"/>
      <c r="Q349" s="144"/>
    </row>
    <row r="350" ht="15.75" customHeight="1">
      <c r="P350" s="143"/>
      <c r="Q350" s="144"/>
    </row>
    <row r="351" ht="15.75" customHeight="1">
      <c r="P351" s="143"/>
      <c r="Q351" s="144"/>
    </row>
    <row r="352" ht="15.75" customHeight="1">
      <c r="P352" s="143"/>
      <c r="Q352" s="144"/>
    </row>
    <row r="353" ht="15.75" customHeight="1">
      <c r="P353" s="143"/>
      <c r="Q353" s="144"/>
    </row>
    <row r="354" ht="15.75" customHeight="1">
      <c r="P354" s="143"/>
      <c r="Q354" s="144"/>
    </row>
    <row r="355" ht="15.75" customHeight="1">
      <c r="P355" s="143"/>
      <c r="Q355" s="144"/>
    </row>
    <row r="356" ht="15.75" customHeight="1">
      <c r="P356" s="143"/>
      <c r="Q356" s="144"/>
    </row>
    <row r="357" ht="15.75" customHeight="1">
      <c r="P357" s="143"/>
      <c r="Q357" s="144"/>
    </row>
    <row r="358" ht="15.75" customHeight="1">
      <c r="P358" s="143"/>
      <c r="Q358" s="144"/>
    </row>
    <row r="359" ht="15.75" customHeight="1">
      <c r="P359" s="143"/>
      <c r="Q359" s="144"/>
    </row>
    <row r="360" ht="15.75" customHeight="1">
      <c r="P360" s="143"/>
      <c r="Q360" s="144"/>
    </row>
    <row r="361" ht="15.75" customHeight="1">
      <c r="P361" s="143"/>
      <c r="Q361" s="144"/>
    </row>
    <row r="362" ht="15.75" customHeight="1">
      <c r="P362" s="143"/>
      <c r="Q362" s="144"/>
    </row>
    <row r="363" ht="15.75" customHeight="1">
      <c r="P363" s="143"/>
      <c r="Q363" s="144"/>
    </row>
    <row r="364" ht="15.75" customHeight="1">
      <c r="P364" s="143"/>
      <c r="Q364" s="144"/>
    </row>
    <row r="365" ht="15.75" customHeight="1">
      <c r="P365" s="143"/>
      <c r="Q365" s="144"/>
    </row>
    <row r="366" ht="15.75" customHeight="1">
      <c r="P366" s="143"/>
      <c r="Q366" s="144"/>
    </row>
    <row r="367" ht="15.75" customHeight="1">
      <c r="P367" s="143"/>
      <c r="Q367" s="144"/>
    </row>
    <row r="368" ht="15.75" customHeight="1">
      <c r="P368" s="143"/>
      <c r="Q368" s="144"/>
    </row>
    <row r="369" ht="15.75" customHeight="1">
      <c r="P369" s="143"/>
      <c r="Q369" s="144"/>
    </row>
    <row r="370" ht="15.75" customHeight="1">
      <c r="P370" s="143"/>
      <c r="Q370" s="144"/>
    </row>
    <row r="371" ht="15.75" customHeight="1">
      <c r="P371" s="143"/>
      <c r="Q371" s="144"/>
    </row>
    <row r="372" ht="15.75" customHeight="1">
      <c r="P372" s="143"/>
      <c r="Q372" s="144"/>
    </row>
    <row r="373" ht="15.75" customHeight="1">
      <c r="P373" s="143"/>
      <c r="Q373" s="144"/>
    </row>
    <row r="374" ht="15.75" customHeight="1">
      <c r="P374" s="143"/>
      <c r="Q374" s="144"/>
    </row>
    <row r="375" ht="15.75" customHeight="1">
      <c r="P375" s="143"/>
      <c r="Q375" s="144"/>
    </row>
    <row r="376" ht="15.75" customHeight="1">
      <c r="P376" s="143"/>
      <c r="Q376" s="144"/>
    </row>
    <row r="377" ht="15.75" customHeight="1">
      <c r="P377" s="143"/>
      <c r="Q377" s="144"/>
    </row>
    <row r="378" ht="15.75" customHeight="1">
      <c r="P378" s="143"/>
      <c r="Q378" s="144"/>
    </row>
    <row r="379" ht="15.75" customHeight="1">
      <c r="P379" s="143"/>
      <c r="Q379" s="144"/>
    </row>
    <row r="380" ht="15.75" customHeight="1">
      <c r="P380" s="143"/>
      <c r="Q380" s="144"/>
    </row>
    <row r="381" ht="15.75" customHeight="1">
      <c r="P381" s="143"/>
      <c r="Q381" s="144"/>
    </row>
    <row r="382" ht="15.75" customHeight="1">
      <c r="P382" s="143"/>
      <c r="Q382" s="144"/>
    </row>
    <row r="383" ht="15.75" customHeight="1">
      <c r="P383" s="143"/>
      <c r="Q383" s="144"/>
    </row>
    <row r="384" ht="15.75" customHeight="1">
      <c r="P384" s="143"/>
      <c r="Q384" s="144"/>
    </row>
    <row r="385" ht="15.75" customHeight="1">
      <c r="P385" s="143"/>
      <c r="Q385" s="144"/>
    </row>
    <row r="386" ht="15.75" customHeight="1">
      <c r="P386" s="143"/>
      <c r="Q386" s="144"/>
    </row>
    <row r="387" ht="15.75" customHeight="1">
      <c r="P387" s="143"/>
      <c r="Q387" s="144"/>
    </row>
    <row r="388" ht="15.75" customHeight="1">
      <c r="P388" s="143"/>
      <c r="Q388" s="144"/>
    </row>
    <row r="389" ht="15.75" customHeight="1">
      <c r="P389" s="143"/>
      <c r="Q389" s="144"/>
    </row>
    <row r="390" ht="15.75" customHeight="1">
      <c r="P390" s="143"/>
      <c r="Q390" s="144"/>
    </row>
    <row r="391" ht="15.75" customHeight="1">
      <c r="P391" s="143"/>
      <c r="Q391" s="144"/>
    </row>
    <row r="392" ht="15.75" customHeight="1">
      <c r="P392" s="143"/>
      <c r="Q392" s="144"/>
    </row>
    <row r="393" ht="15.75" customHeight="1">
      <c r="P393" s="143"/>
      <c r="Q393" s="144"/>
    </row>
    <row r="394" ht="15.75" customHeight="1">
      <c r="P394" s="143"/>
      <c r="Q394" s="144"/>
    </row>
    <row r="395" ht="15.75" customHeight="1">
      <c r="P395" s="143"/>
      <c r="Q395" s="144"/>
    </row>
    <row r="396" ht="15.75" customHeight="1">
      <c r="P396" s="143"/>
      <c r="Q396" s="144"/>
    </row>
    <row r="397" ht="15.75" customHeight="1">
      <c r="P397" s="143"/>
      <c r="Q397" s="144"/>
    </row>
    <row r="398" ht="15.75" customHeight="1">
      <c r="P398" s="143"/>
      <c r="Q398" s="144"/>
    </row>
    <row r="399" ht="15.75" customHeight="1">
      <c r="P399" s="143"/>
      <c r="Q399" s="144"/>
    </row>
    <row r="400" ht="15.75" customHeight="1">
      <c r="P400" s="143"/>
      <c r="Q400" s="144"/>
    </row>
    <row r="401" ht="15.75" customHeight="1">
      <c r="P401" s="143"/>
      <c r="Q401" s="144"/>
    </row>
    <row r="402" ht="15.75" customHeight="1">
      <c r="P402" s="143"/>
      <c r="Q402" s="144"/>
    </row>
    <row r="403" ht="15.75" customHeight="1">
      <c r="P403" s="143"/>
      <c r="Q403" s="144"/>
    </row>
    <row r="404" ht="15.75" customHeight="1">
      <c r="P404" s="143"/>
      <c r="Q404" s="144"/>
    </row>
    <row r="405" ht="15.75" customHeight="1">
      <c r="P405" s="143"/>
      <c r="Q405" s="144"/>
    </row>
    <row r="406" ht="15.75" customHeight="1">
      <c r="P406" s="143"/>
      <c r="Q406" s="144"/>
    </row>
    <row r="407" ht="15.75" customHeight="1">
      <c r="P407" s="143"/>
      <c r="Q407" s="144"/>
    </row>
    <row r="408" ht="15.75" customHeight="1">
      <c r="P408" s="143"/>
      <c r="Q408" s="144"/>
    </row>
    <row r="409" ht="15.75" customHeight="1">
      <c r="P409" s="143"/>
      <c r="Q409" s="144"/>
    </row>
    <row r="410" ht="15.75" customHeight="1">
      <c r="P410" s="143"/>
      <c r="Q410" s="144"/>
    </row>
    <row r="411" ht="15.75" customHeight="1">
      <c r="P411" s="143"/>
      <c r="Q411" s="144"/>
    </row>
    <row r="412" ht="15.75" customHeight="1">
      <c r="P412" s="143"/>
      <c r="Q412" s="144"/>
    </row>
    <row r="413" ht="15.75" customHeight="1">
      <c r="P413" s="143"/>
      <c r="Q413" s="144"/>
    </row>
    <row r="414" ht="15.75" customHeight="1">
      <c r="P414" s="143"/>
      <c r="Q414" s="144"/>
    </row>
    <row r="415" ht="15.75" customHeight="1">
      <c r="P415" s="143"/>
      <c r="Q415" s="144"/>
    </row>
    <row r="416" ht="15.75" customHeight="1">
      <c r="P416" s="143"/>
      <c r="Q416" s="144"/>
    </row>
    <row r="417" ht="15.75" customHeight="1">
      <c r="P417" s="143"/>
      <c r="Q417" s="144"/>
    </row>
    <row r="418" ht="15.75" customHeight="1">
      <c r="P418" s="143"/>
      <c r="Q418" s="144"/>
    </row>
    <row r="419" ht="15.75" customHeight="1">
      <c r="P419" s="143"/>
      <c r="Q419" s="144"/>
    </row>
    <row r="420" ht="15.75" customHeight="1">
      <c r="P420" s="143"/>
      <c r="Q420" s="144"/>
    </row>
    <row r="421" ht="15.75" customHeight="1">
      <c r="P421" s="143"/>
      <c r="Q421" s="144"/>
    </row>
    <row r="422" ht="15.75" customHeight="1">
      <c r="P422" s="143"/>
      <c r="Q422" s="144"/>
    </row>
    <row r="423" ht="15.75" customHeight="1">
      <c r="P423" s="143"/>
      <c r="Q423" s="144"/>
    </row>
    <row r="424" ht="15.75" customHeight="1">
      <c r="P424" s="143"/>
      <c r="Q424" s="144"/>
    </row>
    <row r="425" ht="15.75" customHeight="1">
      <c r="P425" s="143"/>
      <c r="Q425" s="144"/>
    </row>
    <row r="426" ht="15.75" customHeight="1">
      <c r="P426" s="143"/>
      <c r="Q426" s="144"/>
    </row>
    <row r="427" ht="15.75" customHeight="1">
      <c r="P427" s="143"/>
      <c r="Q427" s="144"/>
    </row>
    <row r="428" ht="15.75" customHeight="1">
      <c r="P428" s="143"/>
      <c r="Q428" s="144"/>
    </row>
    <row r="429" ht="15.75" customHeight="1">
      <c r="P429" s="143"/>
      <c r="Q429" s="144"/>
    </row>
    <row r="430" ht="15.75" customHeight="1">
      <c r="P430" s="143"/>
      <c r="Q430" s="144"/>
    </row>
    <row r="431" ht="15.75" customHeight="1">
      <c r="P431" s="143"/>
      <c r="Q431" s="144"/>
    </row>
    <row r="432" ht="15.75" customHeight="1">
      <c r="P432" s="143"/>
      <c r="Q432" s="144"/>
    </row>
    <row r="433" ht="15.75" customHeight="1">
      <c r="P433" s="143"/>
      <c r="Q433" s="144"/>
    </row>
    <row r="434" ht="15.75" customHeight="1">
      <c r="P434" s="143"/>
      <c r="Q434" s="144"/>
    </row>
    <row r="435" ht="15.75" customHeight="1">
      <c r="P435" s="143"/>
      <c r="Q435" s="144"/>
    </row>
    <row r="436" ht="15.75" customHeight="1">
      <c r="P436" s="143"/>
      <c r="Q436" s="144"/>
    </row>
    <row r="437" ht="15.75" customHeight="1">
      <c r="P437" s="143"/>
      <c r="Q437" s="144"/>
    </row>
    <row r="438" ht="15.75" customHeight="1">
      <c r="P438" s="143"/>
      <c r="Q438" s="144"/>
    </row>
    <row r="439" ht="15.75" customHeight="1">
      <c r="P439" s="143"/>
      <c r="Q439" s="144"/>
    </row>
    <row r="440" ht="15.75" customHeight="1">
      <c r="P440" s="143"/>
      <c r="Q440" s="144"/>
    </row>
    <row r="441" ht="15.75" customHeight="1">
      <c r="P441" s="143"/>
      <c r="Q441" s="144"/>
    </row>
    <row r="442" ht="15.75" customHeight="1">
      <c r="P442" s="143"/>
      <c r="Q442" s="144"/>
    </row>
    <row r="443" ht="15.75" customHeight="1">
      <c r="P443" s="143"/>
      <c r="Q443" s="144"/>
    </row>
    <row r="444" ht="15.75" customHeight="1">
      <c r="P444" s="143"/>
      <c r="Q444" s="144"/>
    </row>
    <row r="445" ht="15.75" customHeight="1">
      <c r="P445" s="143"/>
      <c r="Q445" s="144"/>
    </row>
    <row r="446" ht="15.75" customHeight="1">
      <c r="P446" s="143"/>
      <c r="Q446" s="144"/>
    </row>
    <row r="447" ht="15.75" customHeight="1">
      <c r="P447" s="143"/>
      <c r="Q447" s="144"/>
    </row>
    <row r="448" ht="15.75" customHeight="1">
      <c r="P448" s="143"/>
      <c r="Q448" s="144"/>
    </row>
    <row r="449" ht="15.75" customHeight="1">
      <c r="P449" s="143"/>
      <c r="Q449" s="144"/>
    </row>
    <row r="450" ht="15.75" customHeight="1">
      <c r="P450" s="143"/>
      <c r="Q450" s="144"/>
    </row>
    <row r="451" ht="15.75" customHeight="1">
      <c r="P451" s="143"/>
      <c r="Q451" s="144"/>
    </row>
    <row r="452" ht="15.75" customHeight="1">
      <c r="P452" s="143"/>
      <c r="Q452" s="144"/>
    </row>
    <row r="453" ht="15.75" customHeight="1">
      <c r="P453" s="143"/>
      <c r="Q453" s="144"/>
    </row>
    <row r="454" ht="15.75" customHeight="1">
      <c r="P454" s="143"/>
      <c r="Q454" s="144"/>
    </row>
    <row r="455" ht="15.75" customHeight="1">
      <c r="P455" s="143"/>
      <c r="Q455" s="144"/>
    </row>
    <row r="456" ht="15.75" customHeight="1">
      <c r="P456" s="143"/>
      <c r="Q456" s="144"/>
    </row>
    <row r="457" ht="15.75" customHeight="1">
      <c r="P457" s="143"/>
      <c r="Q457" s="144"/>
    </row>
    <row r="458" ht="15.75" customHeight="1">
      <c r="P458" s="143"/>
      <c r="Q458" s="144"/>
    </row>
    <row r="459" ht="15.75" customHeight="1">
      <c r="P459" s="143"/>
      <c r="Q459" s="144"/>
    </row>
    <row r="460" ht="15.75" customHeight="1">
      <c r="P460" s="143"/>
      <c r="Q460" s="144"/>
    </row>
    <row r="461" ht="15.75" customHeight="1">
      <c r="P461" s="143"/>
      <c r="Q461" s="144"/>
    </row>
    <row r="462" ht="15.75" customHeight="1">
      <c r="P462" s="143"/>
      <c r="Q462" s="144"/>
    </row>
    <row r="463" ht="15.75" customHeight="1">
      <c r="P463" s="143"/>
      <c r="Q463" s="144"/>
    </row>
    <row r="464" ht="15.75" customHeight="1">
      <c r="P464" s="143"/>
      <c r="Q464" s="144"/>
    </row>
    <row r="465" ht="15.75" customHeight="1">
      <c r="P465" s="143"/>
      <c r="Q465" s="144"/>
    </row>
    <row r="466" ht="15.75" customHeight="1">
      <c r="P466" s="143"/>
      <c r="Q466" s="144"/>
    </row>
    <row r="467" ht="15.75" customHeight="1">
      <c r="P467" s="143"/>
      <c r="Q467" s="144"/>
    </row>
    <row r="468" ht="15.75" customHeight="1">
      <c r="P468" s="143"/>
      <c r="Q468" s="144"/>
    </row>
    <row r="469" ht="15.75" customHeight="1">
      <c r="P469" s="143"/>
      <c r="Q469" s="144"/>
    </row>
    <row r="470" ht="15.75" customHeight="1">
      <c r="P470" s="143"/>
      <c r="Q470" s="144"/>
    </row>
    <row r="471" ht="15.75" customHeight="1">
      <c r="P471" s="143"/>
      <c r="Q471" s="144"/>
    </row>
    <row r="472" ht="15.75" customHeight="1">
      <c r="P472" s="143"/>
      <c r="Q472" s="144"/>
    </row>
    <row r="473" ht="15.75" customHeight="1">
      <c r="P473" s="143"/>
      <c r="Q473" s="144"/>
    </row>
    <row r="474" ht="15.75" customHeight="1">
      <c r="P474" s="143"/>
      <c r="Q474" s="144"/>
    </row>
    <row r="475" ht="15.75" customHeight="1">
      <c r="P475" s="143"/>
      <c r="Q475" s="144"/>
    </row>
    <row r="476" ht="15.75" customHeight="1">
      <c r="P476" s="143"/>
      <c r="Q476" s="144"/>
    </row>
    <row r="477" ht="15.75" customHeight="1">
      <c r="P477" s="143"/>
      <c r="Q477" s="144"/>
    </row>
    <row r="478" ht="15.75" customHeight="1">
      <c r="P478" s="143"/>
      <c r="Q478" s="144"/>
    </row>
    <row r="479" ht="15.75" customHeight="1">
      <c r="P479" s="143"/>
      <c r="Q479" s="144"/>
    </row>
    <row r="480" ht="15.75" customHeight="1">
      <c r="P480" s="143"/>
      <c r="Q480" s="144"/>
    </row>
    <row r="481" ht="15.75" customHeight="1">
      <c r="P481" s="143"/>
      <c r="Q481" s="144"/>
    </row>
    <row r="482" ht="15.75" customHeight="1">
      <c r="P482" s="143"/>
      <c r="Q482" s="144"/>
    </row>
    <row r="483" ht="15.75" customHeight="1">
      <c r="P483" s="143"/>
      <c r="Q483" s="144"/>
    </row>
    <row r="484" ht="15.75" customHeight="1">
      <c r="P484" s="143"/>
      <c r="Q484" s="144"/>
    </row>
    <row r="485" ht="15.75" customHeight="1">
      <c r="P485" s="143"/>
      <c r="Q485" s="144"/>
    </row>
    <row r="486" ht="15.75" customHeight="1">
      <c r="P486" s="143"/>
      <c r="Q486" s="144"/>
    </row>
    <row r="487" ht="15.75" customHeight="1">
      <c r="P487" s="143"/>
      <c r="Q487" s="144"/>
    </row>
    <row r="488" ht="15.75" customHeight="1">
      <c r="P488" s="143"/>
      <c r="Q488" s="144"/>
    </row>
    <row r="489" ht="15.75" customHeight="1">
      <c r="P489" s="143"/>
      <c r="Q489" s="144"/>
    </row>
    <row r="490" ht="15.75" customHeight="1">
      <c r="P490" s="143"/>
      <c r="Q490" s="144"/>
    </row>
    <row r="491" ht="15.75" customHeight="1">
      <c r="P491" s="143"/>
      <c r="Q491" s="144"/>
    </row>
    <row r="492" ht="15.75" customHeight="1">
      <c r="P492" s="143"/>
      <c r="Q492" s="144"/>
    </row>
    <row r="493" ht="15.75" customHeight="1">
      <c r="P493" s="143"/>
      <c r="Q493" s="144"/>
    </row>
    <row r="494" ht="15.75" customHeight="1">
      <c r="P494" s="143"/>
      <c r="Q494" s="144"/>
    </row>
    <row r="495" ht="15.75" customHeight="1">
      <c r="P495" s="143"/>
      <c r="Q495" s="144"/>
    </row>
    <row r="496" ht="15.75" customHeight="1">
      <c r="P496" s="143"/>
      <c r="Q496" s="144"/>
    </row>
    <row r="497" ht="15.75" customHeight="1">
      <c r="P497" s="143"/>
      <c r="Q497" s="144"/>
    </row>
    <row r="498" ht="15.75" customHeight="1">
      <c r="P498" s="143"/>
      <c r="Q498" s="144"/>
    </row>
    <row r="499" ht="15.75" customHeight="1">
      <c r="P499" s="143"/>
      <c r="Q499" s="144"/>
    </row>
    <row r="500" ht="15.75" customHeight="1">
      <c r="P500" s="143"/>
      <c r="Q500" s="144"/>
    </row>
    <row r="501" ht="15.75" customHeight="1">
      <c r="P501" s="143"/>
      <c r="Q501" s="144"/>
    </row>
    <row r="502" ht="15.75" customHeight="1">
      <c r="P502" s="143"/>
      <c r="Q502" s="144"/>
    </row>
    <row r="503" ht="15.75" customHeight="1">
      <c r="P503" s="143"/>
      <c r="Q503" s="144"/>
    </row>
    <row r="504" ht="15.75" customHeight="1">
      <c r="P504" s="143"/>
      <c r="Q504" s="144"/>
    </row>
    <row r="505" ht="15.75" customHeight="1">
      <c r="P505" s="143"/>
      <c r="Q505" s="144"/>
    </row>
    <row r="506" ht="15.75" customHeight="1">
      <c r="P506" s="143"/>
      <c r="Q506" s="144"/>
    </row>
    <row r="507" ht="15.75" customHeight="1">
      <c r="P507" s="143"/>
      <c r="Q507" s="144"/>
    </row>
    <row r="508" ht="15.75" customHeight="1">
      <c r="P508" s="143"/>
      <c r="Q508" s="144"/>
    </row>
    <row r="509" ht="15.75" customHeight="1">
      <c r="P509" s="143"/>
      <c r="Q509" s="144"/>
    </row>
    <row r="510" ht="15.75" customHeight="1">
      <c r="P510" s="143"/>
      <c r="Q510" s="144"/>
    </row>
    <row r="511" ht="15.75" customHeight="1">
      <c r="P511" s="143"/>
      <c r="Q511" s="144"/>
    </row>
    <row r="512" ht="15.75" customHeight="1">
      <c r="P512" s="143"/>
      <c r="Q512" s="144"/>
    </row>
    <row r="513" ht="15.75" customHeight="1">
      <c r="P513" s="143"/>
      <c r="Q513" s="144"/>
    </row>
    <row r="514" ht="15.75" customHeight="1">
      <c r="P514" s="143"/>
      <c r="Q514" s="144"/>
    </row>
    <row r="515" ht="15.75" customHeight="1">
      <c r="P515" s="143"/>
      <c r="Q515" s="144"/>
    </row>
    <row r="516" ht="15.75" customHeight="1">
      <c r="P516" s="143"/>
      <c r="Q516" s="144"/>
    </row>
    <row r="517" ht="15.75" customHeight="1">
      <c r="P517" s="143"/>
      <c r="Q517" s="144"/>
    </row>
    <row r="518" ht="15.75" customHeight="1">
      <c r="P518" s="143"/>
      <c r="Q518" s="144"/>
    </row>
    <row r="519" ht="15.75" customHeight="1">
      <c r="P519" s="143"/>
      <c r="Q519" s="144"/>
    </row>
    <row r="520" ht="15.75" customHeight="1">
      <c r="P520" s="143"/>
      <c r="Q520" s="144"/>
    </row>
    <row r="521" ht="15.75" customHeight="1">
      <c r="P521" s="143"/>
      <c r="Q521" s="144"/>
    </row>
    <row r="522" ht="15.75" customHeight="1">
      <c r="P522" s="143"/>
      <c r="Q522" s="144"/>
    </row>
    <row r="523" ht="15.75" customHeight="1">
      <c r="P523" s="143"/>
      <c r="Q523" s="144"/>
    </row>
    <row r="524" ht="15.75" customHeight="1">
      <c r="P524" s="143"/>
      <c r="Q524" s="144"/>
    </row>
    <row r="525" ht="15.75" customHeight="1">
      <c r="P525" s="143"/>
      <c r="Q525" s="144"/>
    </row>
    <row r="526" ht="15.75" customHeight="1">
      <c r="P526" s="143"/>
      <c r="Q526" s="144"/>
    </row>
    <row r="527" ht="15.75" customHeight="1">
      <c r="P527" s="143"/>
      <c r="Q527" s="144"/>
    </row>
    <row r="528" ht="15.75" customHeight="1">
      <c r="P528" s="143"/>
      <c r="Q528" s="144"/>
    </row>
    <row r="529" ht="15.75" customHeight="1">
      <c r="P529" s="143"/>
      <c r="Q529" s="144"/>
    </row>
    <row r="530" ht="15.75" customHeight="1">
      <c r="P530" s="143"/>
      <c r="Q530" s="144"/>
    </row>
    <row r="531" ht="15.75" customHeight="1">
      <c r="P531" s="143"/>
      <c r="Q531" s="144"/>
    </row>
    <row r="532" ht="15.75" customHeight="1">
      <c r="P532" s="143"/>
      <c r="Q532" s="144"/>
    </row>
    <row r="533" ht="15.75" customHeight="1">
      <c r="P533" s="143"/>
      <c r="Q533" s="144"/>
    </row>
    <row r="534" ht="15.75" customHeight="1">
      <c r="P534" s="143"/>
      <c r="Q534" s="144"/>
    </row>
    <row r="535" ht="15.75" customHeight="1">
      <c r="P535" s="143"/>
      <c r="Q535" s="144"/>
    </row>
    <row r="536" ht="15.75" customHeight="1">
      <c r="P536" s="143"/>
      <c r="Q536" s="144"/>
    </row>
    <row r="537" ht="15.75" customHeight="1">
      <c r="P537" s="143"/>
      <c r="Q537" s="144"/>
    </row>
    <row r="538" ht="15.75" customHeight="1">
      <c r="P538" s="143"/>
      <c r="Q538" s="144"/>
    </row>
    <row r="539" ht="15.75" customHeight="1">
      <c r="P539" s="143"/>
      <c r="Q539" s="144"/>
    </row>
    <row r="540" ht="15.75" customHeight="1">
      <c r="P540" s="143"/>
      <c r="Q540" s="144"/>
    </row>
    <row r="541" ht="15.75" customHeight="1">
      <c r="P541" s="143"/>
      <c r="Q541" s="144"/>
    </row>
    <row r="542" ht="15.75" customHeight="1">
      <c r="P542" s="143"/>
      <c r="Q542" s="144"/>
    </row>
    <row r="543" ht="15.75" customHeight="1">
      <c r="P543" s="143"/>
      <c r="Q543" s="144"/>
    </row>
    <row r="544" ht="15.75" customHeight="1">
      <c r="P544" s="143"/>
      <c r="Q544" s="144"/>
    </row>
    <row r="545" ht="15.75" customHeight="1">
      <c r="P545" s="143"/>
      <c r="Q545" s="144"/>
    </row>
    <row r="546" ht="15.75" customHeight="1">
      <c r="P546" s="143"/>
      <c r="Q546" s="144"/>
    </row>
    <row r="547" ht="15.75" customHeight="1">
      <c r="P547" s="143"/>
      <c r="Q547" s="144"/>
    </row>
    <row r="548" ht="15.75" customHeight="1">
      <c r="P548" s="143"/>
      <c r="Q548" s="144"/>
    </row>
    <row r="549" ht="15.75" customHeight="1">
      <c r="P549" s="143"/>
      <c r="Q549" s="144"/>
    </row>
    <row r="550" ht="15.75" customHeight="1">
      <c r="P550" s="143"/>
      <c r="Q550" s="144"/>
    </row>
    <row r="551" ht="15.75" customHeight="1">
      <c r="P551" s="143"/>
      <c r="Q551" s="144"/>
    </row>
    <row r="552" ht="15.75" customHeight="1">
      <c r="P552" s="143"/>
      <c r="Q552" s="144"/>
    </row>
    <row r="553" ht="15.75" customHeight="1">
      <c r="P553" s="143"/>
      <c r="Q553" s="144"/>
    </row>
    <row r="554" ht="15.75" customHeight="1">
      <c r="P554" s="143"/>
      <c r="Q554" s="144"/>
    </row>
    <row r="555" ht="15.75" customHeight="1">
      <c r="P555" s="143"/>
      <c r="Q555" s="144"/>
    </row>
    <row r="556" ht="15.75" customHeight="1">
      <c r="P556" s="143"/>
      <c r="Q556" s="144"/>
    </row>
    <row r="557" ht="15.75" customHeight="1">
      <c r="P557" s="143"/>
      <c r="Q557" s="144"/>
    </row>
    <row r="558" ht="15.75" customHeight="1">
      <c r="P558" s="143"/>
      <c r="Q558" s="144"/>
    </row>
    <row r="559" ht="15.75" customHeight="1">
      <c r="P559" s="143"/>
      <c r="Q559" s="144"/>
    </row>
    <row r="560" ht="15.75" customHeight="1">
      <c r="P560" s="143"/>
      <c r="Q560" s="144"/>
    </row>
    <row r="561" ht="15.75" customHeight="1">
      <c r="P561" s="143"/>
      <c r="Q561" s="144"/>
    </row>
    <row r="562" ht="15.75" customHeight="1">
      <c r="P562" s="143"/>
      <c r="Q562" s="144"/>
    </row>
    <row r="563" ht="15.75" customHeight="1">
      <c r="P563" s="143"/>
      <c r="Q563" s="144"/>
    </row>
    <row r="564" ht="15.75" customHeight="1">
      <c r="P564" s="143"/>
      <c r="Q564" s="144"/>
    </row>
    <row r="565" ht="15.75" customHeight="1">
      <c r="P565" s="143"/>
      <c r="Q565" s="144"/>
    </row>
    <row r="566" ht="15.75" customHeight="1">
      <c r="P566" s="143"/>
      <c r="Q566" s="144"/>
    </row>
    <row r="567" ht="15.75" customHeight="1">
      <c r="P567" s="143"/>
      <c r="Q567" s="144"/>
    </row>
    <row r="568" ht="15.75" customHeight="1">
      <c r="P568" s="143"/>
      <c r="Q568" s="144"/>
    </row>
    <row r="569" ht="15.75" customHeight="1">
      <c r="P569" s="143"/>
      <c r="Q569" s="144"/>
    </row>
    <row r="570" ht="15.75" customHeight="1">
      <c r="P570" s="143"/>
      <c r="Q570" s="144"/>
    </row>
    <row r="571" ht="15.75" customHeight="1">
      <c r="P571" s="143"/>
      <c r="Q571" s="144"/>
    </row>
    <row r="572" ht="15.75" customHeight="1">
      <c r="P572" s="143"/>
      <c r="Q572" s="144"/>
    </row>
    <row r="573" ht="15.75" customHeight="1">
      <c r="P573" s="143"/>
      <c r="Q573" s="144"/>
    </row>
    <row r="574" ht="15.75" customHeight="1">
      <c r="P574" s="143"/>
      <c r="Q574" s="144"/>
    </row>
    <row r="575" ht="15.75" customHeight="1">
      <c r="P575" s="143"/>
      <c r="Q575" s="144"/>
    </row>
    <row r="576" ht="15.75" customHeight="1">
      <c r="P576" s="143"/>
      <c r="Q576" s="144"/>
    </row>
    <row r="577" ht="15.75" customHeight="1">
      <c r="P577" s="143"/>
      <c r="Q577" s="144"/>
    </row>
    <row r="578" ht="15.75" customHeight="1">
      <c r="P578" s="143"/>
      <c r="Q578" s="144"/>
    </row>
    <row r="579" ht="15.75" customHeight="1">
      <c r="P579" s="143"/>
      <c r="Q579" s="144"/>
    </row>
    <row r="580" ht="15.75" customHeight="1">
      <c r="P580" s="143"/>
      <c r="Q580" s="144"/>
    </row>
    <row r="581" ht="15.75" customHeight="1">
      <c r="P581" s="143"/>
      <c r="Q581" s="144"/>
    </row>
    <row r="582" ht="15.75" customHeight="1">
      <c r="P582" s="143"/>
      <c r="Q582" s="144"/>
    </row>
    <row r="583" ht="15.75" customHeight="1">
      <c r="P583" s="143"/>
      <c r="Q583" s="144"/>
    </row>
    <row r="584" ht="15.75" customHeight="1">
      <c r="P584" s="143"/>
      <c r="Q584" s="144"/>
    </row>
    <row r="585" ht="15.75" customHeight="1">
      <c r="P585" s="143"/>
      <c r="Q585" s="144"/>
    </row>
    <row r="586" ht="15.75" customHeight="1">
      <c r="P586" s="143"/>
      <c r="Q586" s="144"/>
    </row>
    <row r="587" ht="15.75" customHeight="1">
      <c r="P587" s="143"/>
      <c r="Q587" s="144"/>
    </row>
    <row r="588" ht="15.75" customHeight="1">
      <c r="P588" s="143"/>
      <c r="Q588" s="144"/>
    </row>
    <row r="589" ht="15.75" customHeight="1">
      <c r="P589" s="143"/>
      <c r="Q589" s="144"/>
    </row>
    <row r="590" ht="15.75" customHeight="1">
      <c r="P590" s="143"/>
      <c r="Q590" s="144"/>
    </row>
    <row r="591" ht="15.75" customHeight="1">
      <c r="P591" s="143"/>
      <c r="Q591" s="144"/>
    </row>
    <row r="592" ht="15.75" customHeight="1">
      <c r="P592" s="143"/>
      <c r="Q592" s="144"/>
    </row>
    <row r="593" ht="15.75" customHeight="1">
      <c r="P593" s="143"/>
      <c r="Q593" s="144"/>
    </row>
    <row r="594" ht="15.75" customHeight="1">
      <c r="P594" s="143"/>
      <c r="Q594" s="144"/>
    </row>
    <row r="595" ht="15.75" customHeight="1">
      <c r="P595" s="143"/>
      <c r="Q595" s="144"/>
    </row>
    <row r="596" ht="15.75" customHeight="1">
      <c r="P596" s="143"/>
      <c r="Q596" s="144"/>
    </row>
    <row r="597" ht="15.75" customHeight="1">
      <c r="P597" s="143"/>
      <c r="Q597" s="144"/>
    </row>
    <row r="598" ht="15.75" customHeight="1">
      <c r="P598" s="143"/>
      <c r="Q598" s="144"/>
    </row>
    <row r="599" ht="15.75" customHeight="1">
      <c r="P599" s="143"/>
      <c r="Q599" s="144"/>
    </row>
    <row r="600" ht="15.75" customHeight="1">
      <c r="P600" s="143"/>
      <c r="Q600" s="144"/>
    </row>
    <row r="601" ht="15.75" customHeight="1">
      <c r="P601" s="143"/>
      <c r="Q601" s="144"/>
    </row>
    <row r="602" ht="15.75" customHeight="1">
      <c r="P602" s="143"/>
      <c r="Q602" s="144"/>
    </row>
    <row r="603" ht="15.75" customHeight="1">
      <c r="P603" s="143"/>
      <c r="Q603" s="144"/>
    </row>
    <row r="604" ht="15.75" customHeight="1">
      <c r="P604" s="143"/>
      <c r="Q604" s="144"/>
    </row>
    <row r="605" ht="15.75" customHeight="1">
      <c r="P605" s="143"/>
      <c r="Q605" s="144"/>
    </row>
    <row r="606" ht="15.75" customHeight="1">
      <c r="P606" s="143"/>
      <c r="Q606" s="144"/>
    </row>
    <row r="607" ht="15.75" customHeight="1">
      <c r="P607" s="143"/>
      <c r="Q607" s="144"/>
    </row>
    <row r="608" ht="15.75" customHeight="1">
      <c r="P608" s="143"/>
      <c r="Q608" s="144"/>
    </row>
    <row r="609" ht="15.75" customHeight="1">
      <c r="P609" s="143"/>
      <c r="Q609" s="144"/>
    </row>
    <row r="610" ht="15.75" customHeight="1">
      <c r="P610" s="143"/>
      <c r="Q610" s="144"/>
    </row>
    <row r="611" ht="15.75" customHeight="1">
      <c r="P611" s="143"/>
      <c r="Q611" s="144"/>
    </row>
    <row r="612" ht="15.75" customHeight="1">
      <c r="P612" s="143"/>
      <c r="Q612" s="144"/>
    </row>
    <row r="613" ht="15.75" customHeight="1">
      <c r="P613" s="143"/>
      <c r="Q613" s="144"/>
    </row>
    <row r="614" ht="15.75" customHeight="1">
      <c r="P614" s="143"/>
      <c r="Q614" s="144"/>
    </row>
    <row r="615" ht="15.75" customHeight="1">
      <c r="P615" s="143"/>
      <c r="Q615" s="144"/>
    </row>
    <row r="616" ht="15.75" customHeight="1">
      <c r="P616" s="143"/>
      <c r="Q616" s="144"/>
    </row>
    <row r="617" ht="15.75" customHeight="1">
      <c r="P617" s="143"/>
      <c r="Q617" s="144"/>
    </row>
    <row r="618" ht="15.75" customHeight="1">
      <c r="P618" s="143"/>
      <c r="Q618" s="144"/>
    </row>
    <row r="619" ht="15.75" customHeight="1">
      <c r="P619" s="143"/>
      <c r="Q619" s="144"/>
    </row>
    <row r="620" ht="15.75" customHeight="1">
      <c r="P620" s="143"/>
      <c r="Q620" s="144"/>
    </row>
    <row r="621" ht="15.75" customHeight="1">
      <c r="P621" s="143"/>
      <c r="Q621" s="144"/>
    </row>
    <row r="622" ht="15.75" customHeight="1">
      <c r="P622" s="143"/>
      <c r="Q622" s="144"/>
    </row>
    <row r="623" ht="15.75" customHeight="1">
      <c r="P623" s="143"/>
      <c r="Q623" s="144"/>
    </row>
    <row r="624" ht="15.75" customHeight="1">
      <c r="P624" s="143"/>
      <c r="Q624" s="144"/>
    </row>
    <row r="625" ht="15.75" customHeight="1">
      <c r="P625" s="143"/>
      <c r="Q625" s="144"/>
    </row>
    <row r="626" ht="15.75" customHeight="1">
      <c r="P626" s="143"/>
      <c r="Q626" s="144"/>
    </row>
    <row r="627" ht="15.75" customHeight="1">
      <c r="P627" s="143"/>
      <c r="Q627" s="144"/>
    </row>
    <row r="628" ht="15.75" customHeight="1">
      <c r="P628" s="143"/>
      <c r="Q628" s="144"/>
    </row>
    <row r="629" ht="15.75" customHeight="1">
      <c r="P629" s="143"/>
      <c r="Q629" s="144"/>
    </row>
    <row r="630" ht="15.75" customHeight="1">
      <c r="P630" s="143"/>
      <c r="Q630" s="144"/>
    </row>
    <row r="631" ht="15.75" customHeight="1">
      <c r="P631" s="143"/>
      <c r="Q631" s="144"/>
    </row>
    <row r="632" ht="15.75" customHeight="1">
      <c r="P632" s="143"/>
      <c r="Q632" s="144"/>
    </row>
    <row r="633" ht="15.75" customHeight="1">
      <c r="P633" s="143"/>
      <c r="Q633" s="144"/>
    </row>
    <row r="634" ht="15.75" customHeight="1">
      <c r="P634" s="143"/>
      <c r="Q634" s="144"/>
    </row>
    <row r="635" ht="15.75" customHeight="1">
      <c r="P635" s="143"/>
      <c r="Q635" s="144"/>
    </row>
    <row r="636" ht="15.75" customHeight="1">
      <c r="P636" s="143"/>
      <c r="Q636" s="144"/>
    </row>
    <row r="637" ht="15.75" customHeight="1">
      <c r="P637" s="143"/>
      <c r="Q637" s="144"/>
    </row>
    <row r="638" ht="15.75" customHeight="1">
      <c r="P638" s="143"/>
      <c r="Q638" s="144"/>
    </row>
    <row r="639" ht="15.75" customHeight="1">
      <c r="P639" s="143"/>
      <c r="Q639" s="144"/>
    </row>
    <row r="640" ht="15.75" customHeight="1">
      <c r="P640" s="143"/>
      <c r="Q640" s="144"/>
    </row>
    <row r="641" ht="15.75" customHeight="1">
      <c r="P641" s="143"/>
      <c r="Q641" s="144"/>
    </row>
    <row r="642" ht="15.75" customHeight="1">
      <c r="P642" s="143"/>
      <c r="Q642" s="144"/>
    </row>
    <row r="643" ht="15.75" customHeight="1">
      <c r="P643" s="143"/>
      <c r="Q643" s="144"/>
    </row>
    <row r="644" ht="15.75" customHeight="1">
      <c r="P644" s="143"/>
      <c r="Q644" s="144"/>
    </row>
    <row r="645" ht="15.75" customHeight="1">
      <c r="P645" s="143"/>
      <c r="Q645" s="144"/>
    </row>
    <row r="646" ht="15.75" customHeight="1">
      <c r="P646" s="143"/>
      <c r="Q646" s="144"/>
    </row>
    <row r="647" ht="15.75" customHeight="1">
      <c r="P647" s="143"/>
      <c r="Q647" s="144"/>
    </row>
    <row r="648" ht="15.75" customHeight="1">
      <c r="P648" s="143"/>
      <c r="Q648" s="144"/>
    </row>
    <row r="649" ht="15.75" customHeight="1">
      <c r="P649" s="143"/>
      <c r="Q649" s="144"/>
    </row>
    <row r="650" ht="15.75" customHeight="1">
      <c r="P650" s="143"/>
      <c r="Q650" s="144"/>
    </row>
    <row r="651" ht="15.75" customHeight="1">
      <c r="P651" s="143"/>
      <c r="Q651" s="144"/>
    </row>
    <row r="652" ht="15.75" customHeight="1">
      <c r="P652" s="143"/>
      <c r="Q652" s="144"/>
    </row>
    <row r="653" ht="15.75" customHeight="1">
      <c r="P653" s="143"/>
      <c r="Q653" s="144"/>
    </row>
    <row r="654" ht="15.75" customHeight="1">
      <c r="P654" s="143"/>
      <c r="Q654" s="144"/>
    </row>
    <row r="655" ht="15.75" customHeight="1">
      <c r="P655" s="143"/>
      <c r="Q655" s="144"/>
    </row>
    <row r="656" ht="15.75" customHeight="1">
      <c r="P656" s="143"/>
      <c r="Q656" s="144"/>
    </row>
    <row r="657" ht="15.75" customHeight="1">
      <c r="P657" s="143"/>
      <c r="Q657" s="144"/>
    </row>
    <row r="658" ht="15.75" customHeight="1">
      <c r="P658" s="143"/>
      <c r="Q658" s="144"/>
    </row>
    <row r="659" ht="15.75" customHeight="1">
      <c r="P659" s="143"/>
      <c r="Q659" s="144"/>
    </row>
    <row r="660" ht="15.75" customHeight="1">
      <c r="P660" s="143"/>
      <c r="Q660" s="144"/>
    </row>
    <row r="661" ht="15.75" customHeight="1">
      <c r="P661" s="143"/>
      <c r="Q661" s="144"/>
    </row>
    <row r="662" ht="15.75" customHeight="1">
      <c r="P662" s="143"/>
      <c r="Q662" s="144"/>
    </row>
    <row r="663" ht="15.75" customHeight="1">
      <c r="P663" s="143"/>
      <c r="Q663" s="144"/>
    </row>
    <row r="664" ht="15.75" customHeight="1">
      <c r="P664" s="143"/>
      <c r="Q664" s="144"/>
    </row>
    <row r="665" ht="15.75" customHeight="1">
      <c r="P665" s="143"/>
      <c r="Q665" s="144"/>
    </row>
    <row r="666" ht="15.75" customHeight="1">
      <c r="P666" s="143"/>
      <c r="Q666" s="144"/>
    </row>
    <row r="667" ht="15.75" customHeight="1">
      <c r="P667" s="143"/>
      <c r="Q667" s="144"/>
    </row>
    <row r="668" ht="15.75" customHeight="1">
      <c r="P668" s="143"/>
      <c r="Q668" s="144"/>
    </row>
    <row r="669" ht="15.75" customHeight="1">
      <c r="P669" s="143"/>
      <c r="Q669" s="144"/>
    </row>
    <row r="670" ht="15.75" customHeight="1">
      <c r="P670" s="143"/>
      <c r="Q670" s="144"/>
    </row>
    <row r="671" ht="15.75" customHeight="1">
      <c r="P671" s="143"/>
      <c r="Q671" s="144"/>
    </row>
    <row r="672" ht="15.75" customHeight="1">
      <c r="P672" s="143"/>
      <c r="Q672" s="144"/>
    </row>
    <row r="673" ht="15.75" customHeight="1">
      <c r="P673" s="143"/>
      <c r="Q673" s="144"/>
    </row>
    <row r="674" ht="15.75" customHeight="1">
      <c r="P674" s="143"/>
      <c r="Q674" s="144"/>
    </row>
    <row r="675" ht="15.75" customHeight="1">
      <c r="P675" s="143"/>
      <c r="Q675" s="144"/>
    </row>
    <row r="676" ht="15.75" customHeight="1">
      <c r="P676" s="143"/>
      <c r="Q676" s="144"/>
    </row>
    <row r="677" ht="15.75" customHeight="1">
      <c r="P677" s="143"/>
      <c r="Q677" s="144"/>
    </row>
    <row r="678" ht="15.75" customHeight="1">
      <c r="P678" s="143"/>
      <c r="Q678" s="144"/>
    </row>
    <row r="679" ht="15.75" customHeight="1">
      <c r="P679" s="143"/>
      <c r="Q679" s="144"/>
    </row>
    <row r="680" ht="15.75" customHeight="1">
      <c r="P680" s="143"/>
      <c r="Q680" s="144"/>
    </row>
    <row r="681" ht="15.75" customHeight="1">
      <c r="P681" s="143"/>
      <c r="Q681" s="144"/>
    </row>
    <row r="682" ht="15.75" customHeight="1">
      <c r="P682" s="143"/>
      <c r="Q682" s="144"/>
    </row>
    <row r="683" ht="15.75" customHeight="1">
      <c r="P683" s="143"/>
      <c r="Q683" s="144"/>
    </row>
    <row r="684" ht="15.75" customHeight="1">
      <c r="P684" s="143"/>
      <c r="Q684" s="144"/>
    </row>
    <row r="685" ht="15.75" customHeight="1">
      <c r="P685" s="143"/>
      <c r="Q685" s="144"/>
    </row>
    <row r="686" ht="15.75" customHeight="1">
      <c r="P686" s="143"/>
      <c r="Q686" s="144"/>
    </row>
    <row r="687" ht="15.75" customHeight="1">
      <c r="P687" s="143"/>
      <c r="Q687" s="144"/>
    </row>
    <row r="688" ht="15.75" customHeight="1">
      <c r="P688" s="143"/>
      <c r="Q688" s="144"/>
    </row>
    <row r="689" ht="15.75" customHeight="1">
      <c r="P689" s="143"/>
      <c r="Q689" s="144"/>
    </row>
    <row r="690" ht="15.75" customHeight="1">
      <c r="P690" s="143"/>
      <c r="Q690" s="144"/>
    </row>
    <row r="691" ht="15.75" customHeight="1">
      <c r="P691" s="143"/>
      <c r="Q691" s="144"/>
    </row>
    <row r="692" ht="15.75" customHeight="1">
      <c r="P692" s="143"/>
      <c r="Q692" s="144"/>
    </row>
    <row r="693" ht="15.75" customHeight="1">
      <c r="P693" s="143"/>
      <c r="Q693" s="144"/>
    </row>
    <row r="694" ht="15.75" customHeight="1">
      <c r="P694" s="143"/>
      <c r="Q694" s="144"/>
    </row>
    <row r="695" ht="15.75" customHeight="1">
      <c r="P695" s="143"/>
      <c r="Q695" s="144"/>
    </row>
    <row r="696" ht="15.75" customHeight="1">
      <c r="P696" s="143"/>
      <c r="Q696" s="144"/>
    </row>
    <row r="697" ht="15.75" customHeight="1">
      <c r="P697" s="143"/>
      <c r="Q697" s="144"/>
    </row>
    <row r="698" ht="15.75" customHeight="1">
      <c r="P698" s="143"/>
      <c r="Q698" s="144"/>
    </row>
    <row r="699" ht="15.75" customHeight="1">
      <c r="P699" s="143"/>
      <c r="Q699" s="144"/>
    </row>
    <row r="700" ht="15.75" customHeight="1">
      <c r="P700" s="143"/>
      <c r="Q700" s="144"/>
    </row>
    <row r="701" ht="15.75" customHeight="1">
      <c r="P701" s="143"/>
      <c r="Q701" s="144"/>
    </row>
    <row r="702" ht="15.75" customHeight="1">
      <c r="P702" s="143"/>
      <c r="Q702" s="144"/>
    </row>
    <row r="703" ht="15.75" customHeight="1">
      <c r="P703" s="143"/>
      <c r="Q703" s="144"/>
    </row>
    <row r="704" ht="15.75" customHeight="1">
      <c r="P704" s="143"/>
      <c r="Q704" s="144"/>
    </row>
    <row r="705" ht="15.75" customHeight="1">
      <c r="P705" s="143"/>
      <c r="Q705" s="144"/>
    </row>
    <row r="706" ht="15.75" customHeight="1">
      <c r="P706" s="143"/>
      <c r="Q706" s="144"/>
    </row>
    <row r="707" ht="15.75" customHeight="1">
      <c r="P707" s="143"/>
      <c r="Q707" s="144"/>
    </row>
    <row r="708" ht="15.75" customHeight="1">
      <c r="P708" s="143"/>
      <c r="Q708" s="144"/>
    </row>
    <row r="709" ht="15.75" customHeight="1">
      <c r="P709" s="143"/>
      <c r="Q709" s="144"/>
    </row>
    <row r="710" ht="15.75" customHeight="1">
      <c r="P710" s="143"/>
      <c r="Q710" s="144"/>
    </row>
    <row r="711" ht="15.75" customHeight="1">
      <c r="P711" s="143"/>
      <c r="Q711" s="144"/>
    </row>
    <row r="712" ht="15.75" customHeight="1">
      <c r="P712" s="143"/>
      <c r="Q712" s="144"/>
    </row>
    <row r="713" ht="15.75" customHeight="1">
      <c r="P713" s="143"/>
      <c r="Q713" s="144"/>
    </row>
    <row r="714" ht="15.75" customHeight="1">
      <c r="P714" s="143"/>
      <c r="Q714" s="144"/>
    </row>
    <row r="715" ht="15.75" customHeight="1">
      <c r="P715" s="143"/>
      <c r="Q715" s="144"/>
    </row>
    <row r="716" ht="15.75" customHeight="1">
      <c r="P716" s="143"/>
      <c r="Q716" s="144"/>
    </row>
    <row r="717" ht="15.75" customHeight="1">
      <c r="P717" s="143"/>
      <c r="Q717" s="144"/>
    </row>
    <row r="718" ht="15.75" customHeight="1">
      <c r="P718" s="143"/>
      <c r="Q718" s="144"/>
    </row>
    <row r="719" ht="15.75" customHeight="1">
      <c r="P719" s="143"/>
      <c r="Q719" s="144"/>
    </row>
    <row r="720" ht="15.75" customHeight="1">
      <c r="P720" s="143"/>
      <c r="Q720" s="144"/>
    </row>
    <row r="721" ht="15.75" customHeight="1">
      <c r="P721" s="143"/>
      <c r="Q721" s="144"/>
    </row>
    <row r="722" ht="15.75" customHeight="1">
      <c r="P722" s="143"/>
      <c r="Q722" s="144"/>
    </row>
    <row r="723" ht="15.75" customHeight="1">
      <c r="P723" s="143"/>
      <c r="Q723" s="144"/>
    </row>
    <row r="724" ht="15.75" customHeight="1">
      <c r="P724" s="143"/>
      <c r="Q724" s="144"/>
    </row>
    <row r="725" ht="15.75" customHeight="1">
      <c r="P725" s="143"/>
      <c r="Q725" s="144"/>
    </row>
    <row r="726" ht="15.75" customHeight="1">
      <c r="P726" s="143"/>
      <c r="Q726" s="144"/>
    </row>
    <row r="727" ht="15.75" customHeight="1">
      <c r="P727" s="143"/>
      <c r="Q727" s="144"/>
    </row>
    <row r="728" ht="15.75" customHeight="1">
      <c r="P728" s="143"/>
      <c r="Q728" s="144"/>
    </row>
    <row r="729" ht="15.75" customHeight="1">
      <c r="P729" s="143"/>
      <c r="Q729" s="144"/>
    </row>
    <row r="730" ht="15.75" customHeight="1">
      <c r="P730" s="143"/>
      <c r="Q730" s="144"/>
    </row>
    <row r="731" ht="15.75" customHeight="1">
      <c r="P731" s="143"/>
      <c r="Q731" s="144"/>
    </row>
    <row r="732" ht="15.75" customHeight="1">
      <c r="P732" s="143"/>
      <c r="Q732" s="144"/>
    </row>
    <row r="733" ht="15.75" customHeight="1">
      <c r="P733" s="143"/>
      <c r="Q733" s="144"/>
    </row>
    <row r="734" ht="15.75" customHeight="1">
      <c r="P734" s="143"/>
      <c r="Q734" s="144"/>
    </row>
    <row r="735" ht="15.75" customHeight="1">
      <c r="P735" s="143"/>
      <c r="Q735" s="144"/>
    </row>
    <row r="736" ht="15.75" customHeight="1">
      <c r="P736" s="143"/>
      <c r="Q736" s="144"/>
    </row>
    <row r="737" ht="15.75" customHeight="1">
      <c r="P737" s="143"/>
      <c r="Q737" s="144"/>
    </row>
    <row r="738" ht="15.75" customHeight="1">
      <c r="P738" s="143"/>
      <c r="Q738" s="144"/>
    </row>
    <row r="739" ht="15.75" customHeight="1">
      <c r="P739" s="143"/>
      <c r="Q739" s="144"/>
    </row>
    <row r="740" ht="15.75" customHeight="1">
      <c r="P740" s="143"/>
      <c r="Q740" s="144"/>
    </row>
    <row r="741" ht="15.75" customHeight="1">
      <c r="P741" s="143"/>
      <c r="Q741" s="144"/>
    </row>
    <row r="742" ht="15.75" customHeight="1">
      <c r="P742" s="143"/>
      <c r="Q742" s="144"/>
    </row>
    <row r="743" ht="15.75" customHeight="1">
      <c r="P743" s="143"/>
      <c r="Q743" s="144"/>
    </row>
    <row r="744" ht="15.75" customHeight="1">
      <c r="P744" s="143"/>
      <c r="Q744" s="144"/>
    </row>
    <row r="745" ht="15.75" customHeight="1">
      <c r="P745" s="143"/>
      <c r="Q745" s="144"/>
    </row>
    <row r="746" ht="15.75" customHeight="1">
      <c r="P746" s="143"/>
      <c r="Q746" s="144"/>
    </row>
    <row r="747" ht="15.75" customHeight="1">
      <c r="P747" s="143"/>
      <c r="Q747" s="144"/>
    </row>
    <row r="748" ht="15.75" customHeight="1">
      <c r="P748" s="143"/>
      <c r="Q748" s="144"/>
    </row>
    <row r="749" ht="15.75" customHeight="1">
      <c r="P749" s="143"/>
      <c r="Q749" s="144"/>
    </row>
    <row r="750" ht="15.75" customHeight="1">
      <c r="P750" s="143"/>
      <c r="Q750" s="144"/>
    </row>
    <row r="751" ht="15.75" customHeight="1">
      <c r="P751" s="143"/>
      <c r="Q751" s="144"/>
    </row>
    <row r="752" ht="15.75" customHeight="1">
      <c r="P752" s="143"/>
      <c r="Q752" s="144"/>
    </row>
    <row r="753" ht="15.75" customHeight="1">
      <c r="P753" s="143"/>
      <c r="Q753" s="144"/>
    </row>
    <row r="754" ht="15.75" customHeight="1">
      <c r="P754" s="143"/>
      <c r="Q754" s="144"/>
    </row>
    <row r="755" ht="15.75" customHeight="1">
      <c r="P755" s="143"/>
      <c r="Q755" s="144"/>
    </row>
    <row r="756" ht="15.75" customHeight="1">
      <c r="P756" s="143"/>
      <c r="Q756" s="144"/>
    </row>
    <row r="757" ht="15.75" customHeight="1">
      <c r="P757" s="143"/>
      <c r="Q757" s="144"/>
    </row>
    <row r="758" ht="15.75" customHeight="1">
      <c r="P758" s="143"/>
      <c r="Q758" s="144"/>
    </row>
    <row r="759" ht="15.75" customHeight="1">
      <c r="P759" s="143"/>
      <c r="Q759" s="144"/>
    </row>
    <row r="760" ht="15.75" customHeight="1">
      <c r="P760" s="143"/>
      <c r="Q760" s="144"/>
    </row>
    <row r="761" ht="15.75" customHeight="1">
      <c r="P761" s="143"/>
      <c r="Q761" s="144"/>
    </row>
    <row r="762" ht="15.75" customHeight="1">
      <c r="P762" s="143"/>
      <c r="Q762" s="144"/>
    </row>
    <row r="763" ht="15.75" customHeight="1">
      <c r="P763" s="143"/>
      <c r="Q763" s="144"/>
    </row>
    <row r="764" ht="15.75" customHeight="1">
      <c r="P764" s="143"/>
      <c r="Q764" s="144"/>
    </row>
    <row r="765" ht="15.75" customHeight="1">
      <c r="P765" s="143"/>
      <c r="Q765" s="144"/>
    </row>
    <row r="766" ht="15.75" customHeight="1">
      <c r="P766" s="143"/>
      <c r="Q766" s="144"/>
    </row>
    <row r="767" ht="15.75" customHeight="1">
      <c r="P767" s="143"/>
      <c r="Q767" s="144"/>
    </row>
    <row r="768" ht="15.75" customHeight="1">
      <c r="P768" s="143"/>
      <c r="Q768" s="144"/>
    </row>
    <row r="769" ht="15.75" customHeight="1">
      <c r="P769" s="143"/>
      <c r="Q769" s="144"/>
    </row>
    <row r="770" ht="15.75" customHeight="1">
      <c r="P770" s="143"/>
      <c r="Q770" s="144"/>
    </row>
    <row r="771" ht="15.75" customHeight="1">
      <c r="P771" s="143"/>
      <c r="Q771" s="144"/>
    </row>
    <row r="772" ht="15.75" customHeight="1">
      <c r="P772" s="143"/>
      <c r="Q772" s="144"/>
    </row>
    <row r="773" ht="15.75" customHeight="1">
      <c r="P773" s="143"/>
      <c r="Q773" s="144"/>
    </row>
    <row r="774" ht="15.75" customHeight="1">
      <c r="P774" s="143"/>
      <c r="Q774" s="144"/>
    </row>
    <row r="775" ht="15.75" customHeight="1">
      <c r="P775" s="143"/>
      <c r="Q775" s="144"/>
    </row>
    <row r="776" ht="15.75" customHeight="1">
      <c r="P776" s="143"/>
      <c r="Q776" s="144"/>
    </row>
    <row r="777" ht="15.75" customHeight="1">
      <c r="P777" s="143"/>
      <c r="Q777" s="144"/>
    </row>
    <row r="778" ht="15.75" customHeight="1">
      <c r="P778" s="143"/>
      <c r="Q778" s="144"/>
    </row>
    <row r="779" ht="15.75" customHeight="1">
      <c r="P779" s="143"/>
      <c r="Q779" s="144"/>
    </row>
    <row r="780" ht="15.75" customHeight="1">
      <c r="P780" s="143"/>
      <c r="Q780" s="144"/>
    </row>
    <row r="781" ht="15.75" customHeight="1">
      <c r="P781" s="143"/>
      <c r="Q781" s="144"/>
    </row>
    <row r="782" ht="15.75" customHeight="1">
      <c r="P782" s="143"/>
      <c r="Q782" s="144"/>
    </row>
    <row r="783" ht="15.75" customHeight="1">
      <c r="P783" s="143"/>
      <c r="Q783" s="144"/>
    </row>
    <row r="784" ht="15.75" customHeight="1">
      <c r="P784" s="143"/>
      <c r="Q784" s="144"/>
    </row>
    <row r="785" ht="15.75" customHeight="1">
      <c r="P785" s="143"/>
      <c r="Q785" s="144"/>
    </row>
    <row r="786" ht="15.75" customHeight="1">
      <c r="P786" s="143"/>
      <c r="Q786" s="144"/>
    </row>
    <row r="787" ht="15.75" customHeight="1">
      <c r="P787" s="143"/>
      <c r="Q787" s="144"/>
    </row>
    <row r="788" ht="15.75" customHeight="1">
      <c r="P788" s="143"/>
      <c r="Q788" s="144"/>
    </row>
    <row r="789" ht="15.75" customHeight="1">
      <c r="P789" s="143"/>
      <c r="Q789" s="144"/>
    </row>
    <row r="790" ht="15.75" customHeight="1">
      <c r="P790" s="143"/>
      <c r="Q790" s="144"/>
    </row>
    <row r="791" ht="15.75" customHeight="1">
      <c r="P791" s="143"/>
      <c r="Q791" s="144"/>
    </row>
    <row r="792" ht="15.75" customHeight="1">
      <c r="P792" s="143"/>
      <c r="Q792" s="144"/>
    </row>
    <row r="793" ht="15.75" customHeight="1">
      <c r="P793" s="143"/>
      <c r="Q793" s="144"/>
    </row>
    <row r="794" ht="15.75" customHeight="1">
      <c r="P794" s="143"/>
      <c r="Q794" s="144"/>
    </row>
    <row r="795" ht="15.75" customHeight="1">
      <c r="P795" s="143"/>
      <c r="Q795" s="144"/>
    </row>
    <row r="796" ht="15.75" customHeight="1">
      <c r="P796" s="143"/>
      <c r="Q796" s="144"/>
    </row>
    <row r="797" ht="15.75" customHeight="1">
      <c r="P797" s="143"/>
      <c r="Q797" s="144"/>
    </row>
    <row r="798" ht="15.75" customHeight="1">
      <c r="P798" s="143"/>
      <c r="Q798" s="144"/>
    </row>
    <row r="799" ht="15.75" customHeight="1">
      <c r="P799" s="143"/>
      <c r="Q799" s="144"/>
    </row>
    <row r="800" ht="15.75" customHeight="1">
      <c r="P800" s="143"/>
      <c r="Q800" s="144"/>
    </row>
    <row r="801" ht="15.75" customHeight="1">
      <c r="P801" s="143"/>
      <c r="Q801" s="144"/>
    </row>
    <row r="802" ht="15.75" customHeight="1">
      <c r="P802" s="143"/>
      <c r="Q802" s="144"/>
    </row>
    <row r="803" ht="15.75" customHeight="1">
      <c r="P803" s="143"/>
      <c r="Q803" s="144"/>
    </row>
    <row r="804" ht="15.75" customHeight="1">
      <c r="P804" s="143"/>
      <c r="Q804" s="144"/>
    </row>
    <row r="805" ht="15.75" customHeight="1">
      <c r="P805" s="143"/>
      <c r="Q805" s="144"/>
    </row>
    <row r="806" ht="15.75" customHeight="1">
      <c r="P806" s="143"/>
      <c r="Q806" s="144"/>
    </row>
    <row r="807" ht="15.75" customHeight="1">
      <c r="P807" s="143"/>
      <c r="Q807" s="144"/>
    </row>
    <row r="808" ht="15.75" customHeight="1">
      <c r="P808" s="143"/>
      <c r="Q808" s="144"/>
    </row>
    <row r="809" ht="15.75" customHeight="1">
      <c r="P809" s="143"/>
      <c r="Q809" s="144"/>
    </row>
    <row r="810" ht="15.75" customHeight="1">
      <c r="P810" s="143"/>
      <c r="Q810" s="144"/>
    </row>
    <row r="811" ht="15.75" customHeight="1">
      <c r="P811" s="143"/>
      <c r="Q811" s="144"/>
    </row>
    <row r="812" ht="15.75" customHeight="1">
      <c r="P812" s="143"/>
      <c r="Q812" s="144"/>
    </row>
    <row r="813" ht="15.75" customHeight="1">
      <c r="P813" s="143"/>
      <c r="Q813" s="144"/>
    </row>
    <row r="814" ht="15.75" customHeight="1">
      <c r="P814" s="143"/>
      <c r="Q814" s="144"/>
    </row>
    <row r="815" ht="15.75" customHeight="1">
      <c r="P815" s="143"/>
      <c r="Q815" s="144"/>
    </row>
    <row r="816" ht="15.75" customHeight="1">
      <c r="P816" s="143"/>
      <c r="Q816" s="144"/>
    </row>
    <row r="817" ht="15.75" customHeight="1">
      <c r="P817" s="143"/>
      <c r="Q817" s="144"/>
    </row>
    <row r="818" ht="15.75" customHeight="1">
      <c r="P818" s="143"/>
      <c r="Q818" s="144"/>
    </row>
    <row r="819" ht="15.75" customHeight="1">
      <c r="P819" s="143"/>
      <c r="Q819" s="144"/>
    </row>
    <row r="820" ht="15.75" customHeight="1">
      <c r="P820" s="143"/>
      <c r="Q820" s="144"/>
    </row>
    <row r="821" ht="15.75" customHeight="1">
      <c r="P821" s="143"/>
      <c r="Q821" s="144"/>
    </row>
    <row r="822" ht="15.75" customHeight="1">
      <c r="P822" s="143"/>
      <c r="Q822" s="144"/>
    </row>
    <row r="823" ht="15.75" customHeight="1">
      <c r="P823" s="143"/>
      <c r="Q823" s="144"/>
    </row>
    <row r="824" ht="15.75" customHeight="1">
      <c r="P824" s="143"/>
      <c r="Q824" s="144"/>
    </row>
    <row r="825" ht="15.75" customHeight="1">
      <c r="P825" s="143"/>
      <c r="Q825" s="144"/>
    </row>
    <row r="826" ht="15.75" customHeight="1">
      <c r="P826" s="143"/>
      <c r="Q826" s="144"/>
    </row>
    <row r="827" ht="15.75" customHeight="1">
      <c r="P827" s="143"/>
      <c r="Q827" s="144"/>
    </row>
    <row r="828" ht="15.75" customHeight="1">
      <c r="P828" s="143"/>
      <c r="Q828" s="144"/>
    </row>
    <row r="829" ht="15.75" customHeight="1">
      <c r="P829" s="143"/>
      <c r="Q829" s="144"/>
    </row>
    <row r="830" ht="15.75" customHeight="1">
      <c r="P830" s="143"/>
      <c r="Q830" s="144"/>
    </row>
    <row r="831" ht="15.75" customHeight="1">
      <c r="P831" s="143"/>
      <c r="Q831" s="144"/>
    </row>
    <row r="832" ht="15.75" customHeight="1">
      <c r="P832" s="143"/>
      <c r="Q832" s="144"/>
    </row>
    <row r="833" ht="15.75" customHeight="1">
      <c r="P833" s="143"/>
      <c r="Q833" s="144"/>
    </row>
    <row r="834" ht="15.75" customHeight="1">
      <c r="P834" s="143"/>
      <c r="Q834" s="144"/>
    </row>
    <row r="835" ht="15.75" customHeight="1">
      <c r="P835" s="143"/>
      <c r="Q835" s="144"/>
    </row>
    <row r="836" ht="15.75" customHeight="1">
      <c r="P836" s="143"/>
      <c r="Q836" s="144"/>
    </row>
    <row r="837" ht="15.75" customHeight="1">
      <c r="P837" s="143"/>
      <c r="Q837" s="144"/>
    </row>
    <row r="838" ht="15.75" customHeight="1">
      <c r="P838" s="143"/>
      <c r="Q838" s="144"/>
    </row>
    <row r="839" ht="15.75" customHeight="1">
      <c r="P839" s="143"/>
      <c r="Q839" s="144"/>
    </row>
    <row r="840" ht="15.75" customHeight="1">
      <c r="P840" s="143"/>
      <c r="Q840" s="144"/>
    </row>
    <row r="841" ht="15.75" customHeight="1">
      <c r="P841" s="143"/>
      <c r="Q841" s="144"/>
    </row>
    <row r="842" ht="15.75" customHeight="1">
      <c r="P842" s="143"/>
      <c r="Q842" s="144"/>
    </row>
    <row r="843" ht="15.75" customHeight="1">
      <c r="P843" s="143"/>
      <c r="Q843" s="144"/>
    </row>
    <row r="844" ht="15.75" customHeight="1">
      <c r="P844" s="143"/>
      <c r="Q844" s="144"/>
    </row>
    <row r="845" ht="15.75" customHeight="1">
      <c r="P845" s="143"/>
      <c r="Q845" s="144"/>
    </row>
    <row r="846" ht="15.75" customHeight="1">
      <c r="P846" s="143"/>
      <c r="Q846" s="144"/>
    </row>
    <row r="847" ht="15.75" customHeight="1">
      <c r="P847" s="143"/>
      <c r="Q847" s="144"/>
    </row>
    <row r="848" ht="15.75" customHeight="1">
      <c r="P848" s="143"/>
      <c r="Q848" s="144"/>
    </row>
    <row r="849" ht="15.75" customHeight="1">
      <c r="P849" s="143"/>
      <c r="Q849" s="144"/>
    </row>
    <row r="850" ht="15.75" customHeight="1">
      <c r="P850" s="143"/>
      <c r="Q850" s="144"/>
    </row>
    <row r="851" ht="15.75" customHeight="1">
      <c r="P851" s="143"/>
      <c r="Q851" s="144"/>
    </row>
    <row r="852" ht="15.75" customHeight="1">
      <c r="P852" s="143"/>
      <c r="Q852" s="144"/>
    </row>
    <row r="853" ht="15.75" customHeight="1">
      <c r="P853" s="143"/>
      <c r="Q853" s="144"/>
    </row>
    <row r="854" ht="15.75" customHeight="1">
      <c r="P854" s="143"/>
      <c r="Q854" s="144"/>
    </row>
    <row r="855" ht="15.75" customHeight="1">
      <c r="P855" s="143"/>
      <c r="Q855" s="144"/>
    </row>
    <row r="856" ht="15.75" customHeight="1">
      <c r="P856" s="143"/>
      <c r="Q856" s="144"/>
    </row>
    <row r="857" ht="15.75" customHeight="1">
      <c r="P857" s="143"/>
      <c r="Q857" s="144"/>
    </row>
    <row r="858" ht="15.75" customHeight="1">
      <c r="P858" s="143"/>
      <c r="Q858" s="144"/>
    </row>
    <row r="859" ht="15.75" customHeight="1">
      <c r="P859" s="143"/>
      <c r="Q859" s="144"/>
    </row>
    <row r="860" ht="15.75" customHeight="1">
      <c r="P860" s="143"/>
      <c r="Q860" s="144"/>
    </row>
    <row r="861" ht="15.75" customHeight="1">
      <c r="P861" s="143"/>
      <c r="Q861" s="144"/>
    </row>
    <row r="862" ht="15.75" customHeight="1">
      <c r="P862" s="143"/>
      <c r="Q862" s="144"/>
    </row>
    <row r="863" ht="15.75" customHeight="1">
      <c r="P863" s="143"/>
      <c r="Q863" s="144"/>
    </row>
    <row r="864" ht="15.75" customHeight="1">
      <c r="P864" s="143"/>
      <c r="Q864" s="144"/>
    </row>
    <row r="865" ht="15.75" customHeight="1">
      <c r="P865" s="143"/>
      <c r="Q865" s="144"/>
    </row>
    <row r="866" ht="15.75" customHeight="1">
      <c r="P866" s="143"/>
      <c r="Q866" s="144"/>
    </row>
    <row r="867" ht="15.75" customHeight="1">
      <c r="P867" s="143"/>
      <c r="Q867" s="144"/>
    </row>
    <row r="868" ht="15.75" customHeight="1">
      <c r="P868" s="143"/>
      <c r="Q868" s="144"/>
    </row>
    <row r="869" ht="15.75" customHeight="1">
      <c r="P869" s="143"/>
      <c r="Q869" s="144"/>
    </row>
    <row r="870" ht="15.75" customHeight="1">
      <c r="P870" s="143"/>
      <c r="Q870" s="144"/>
    </row>
    <row r="871" ht="15.75" customHeight="1">
      <c r="P871" s="143"/>
      <c r="Q871" s="144"/>
    </row>
    <row r="872" ht="15.75" customHeight="1">
      <c r="P872" s="143"/>
      <c r="Q872" s="144"/>
    </row>
    <row r="873" ht="15.75" customHeight="1">
      <c r="P873" s="143"/>
      <c r="Q873" s="144"/>
    </row>
    <row r="874" ht="15.75" customHeight="1">
      <c r="P874" s="143"/>
      <c r="Q874" s="144"/>
    </row>
    <row r="875" ht="15.75" customHeight="1">
      <c r="P875" s="143"/>
      <c r="Q875" s="144"/>
    </row>
    <row r="876" ht="15.75" customHeight="1">
      <c r="P876" s="143"/>
      <c r="Q876" s="144"/>
    </row>
    <row r="877" ht="15.75" customHeight="1">
      <c r="P877" s="143"/>
      <c r="Q877" s="144"/>
    </row>
    <row r="878" ht="15.75" customHeight="1">
      <c r="P878" s="143"/>
      <c r="Q878" s="144"/>
    </row>
    <row r="879" ht="15.75" customHeight="1">
      <c r="P879" s="143"/>
      <c r="Q879" s="144"/>
    </row>
    <row r="880" ht="15.75" customHeight="1">
      <c r="P880" s="143"/>
      <c r="Q880" s="144"/>
    </row>
    <row r="881" ht="15.75" customHeight="1">
      <c r="P881" s="143"/>
      <c r="Q881" s="144"/>
    </row>
    <row r="882" ht="15.75" customHeight="1">
      <c r="P882" s="143"/>
      <c r="Q882" s="144"/>
    </row>
    <row r="883" ht="15.75" customHeight="1">
      <c r="P883" s="143"/>
      <c r="Q883" s="144"/>
    </row>
    <row r="884" ht="15.75" customHeight="1">
      <c r="P884" s="143"/>
      <c r="Q884" s="144"/>
    </row>
    <row r="885" ht="15.75" customHeight="1">
      <c r="P885" s="143"/>
      <c r="Q885" s="144"/>
    </row>
    <row r="886" ht="15.75" customHeight="1">
      <c r="P886" s="143"/>
      <c r="Q886" s="144"/>
    </row>
    <row r="887" ht="15.75" customHeight="1">
      <c r="P887" s="143"/>
      <c r="Q887" s="144"/>
    </row>
    <row r="888" ht="15.75" customHeight="1">
      <c r="P888" s="143"/>
      <c r="Q888" s="144"/>
    </row>
    <row r="889" ht="15.75" customHeight="1">
      <c r="P889" s="143"/>
      <c r="Q889" s="144"/>
    </row>
    <row r="890" ht="15.75" customHeight="1">
      <c r="P890" s="143"/>
      <c r="Q890" s="144"/>
    </row>
    <row r="891" ht="15.75" customHeight="1">
      <c r="P891" s="143"/>
      <c r="Q891" s="144"/>
    </row>
    <row r="892" ht="15.75" customHeight="1">
      <c r="P892" s="143"/>
      <c r="Q892" s="144"/>
    </row>
    <row r="893" ht="15.75" customHeight="1">
      <c r="P893" s="143"/>
      <c r="Q893" s="144"/>
    </row>
    <row r="894" ht="15.75" customHeight="1">
      <c r="P894" s="143"/>
      <c r="Q894" s="144"/>
    </row>
    <row r="895" ht="15.75" customHeight="1">
      <c r="P895" s="143"/>
      <c r="Q895" s="144"/>
    </row>
    <row r="896" ht="15.75" customHeight="1">
      <c r="P896" s="143"/>
      <c r="Q896" s="144"/>
    </row>
    <row r="897" ht="15.75" customHeight="1">
      <c r="P897" s="143"/>
      <c r="Q897" s="144"/>
    </row>
    <row r="898" ht="15.75" customHeight="1">
      <c r="P898" s="143"/>
      <c r="Q898" s="144"/>
    </row>
    <row r="899" ht="15.75" customHeight="1">
      <c r="P899" s="143"/>
      <c r="Q899" s="144"/>
    </row>
    <row r="900" ht="15.75" customHeight="1">
      <c r="P900" s="143"/>
      <c r="Q900" s="144"/>
    </row>
    <row r="901" ht="15.75" customHeight="1">
      <c r="P901" s="143"/>
      <c r="Q901" s="144"/>
    </row>
    <row r="902" ht="15.75" customHeight="1">
      <c r="P902" s="143"/>
      <c r="Q902" s="144"/>
    </row>
    <row r="903" ht="15.75" customHeight="1">
      <c r="P903" s="143"/>
      <c r="Q903" s="144"/>
    </row>
    <row r="904" ht="15.75" customHeight="1">
      <c r="P904" s="143"/>
      <c r="Q904" s="144"/>
    </row>
    <row r="905" ht="15.75" customHeight="1">
      <c r="P905" s="143"/>
      <c r="Q905" s="144"/>
    </row>
    <row r="906" ht="15.75" customHeight="1">
      <c r="P906" s="143"/>
      <c r="Q906" s="144"/>
    </row>
    <row r="907" ht="15.75" customHeight="1">
      <c r="P907" s="143"/>
      <c r="Q907" s="144"/>
    </row>
    <row r="908" ht="15.75" customHeight="1">
      <c r="P908" s="143"/>
      <c r="Q908" s="144"/>
    </row>
    <row r="909" ht="15.75" customHeight="1">
      <c r="P909" s="143"/>
      <c r="Q909" s="144"/>
    </row>
    <row r="910" ht="15.75" customHeight="1">
      <c r="P910" s="143"/>
      <c r="Q910" s="144"/>
    </row>
    <row r="911" ht="15.75" customHeight="1">
      <c r="P911" s="143"/>
      <c r="Q911" s="144"/>
    </row>
    <row r="912" ht="15.75" customHeight="1">
      <c r="P912" s="143"/>
      <c r="Q912" s="144"/>
    </row>
    <row r="913" ht="15.75" customHeight="1">
      <c r="P913" s="143"/>
      <c r="Q913" s="144"/>
    </row>
    <row r="914" ht="15.75" customHeight="1">
      <c r="P914" s="143"/>
      <c r="Q914" s="144"/>
    </row>
    <row r="915" ht="15.75" customHeight="1">
      <c r="P915" s="143"/>
      <c r="Q915" s="144"/>
    </row>
    <row r="916" ht="15.75" customHeight="1">
      <c r="P916" s="143"/>
      <c r="Q916" s="144"/>
    </row>
    <row r="917" ht="15.75" customHeight="1">
      <c r="P917" s="143"/>
      <c r="Q917" s="144"/>
    </row>
    <row r="918" ht="15.75" customHeight="1">
      <c r="P918" s="143"/>
      <c r="Q918" s="144"/>
    </row>
    <row r="919" ht="15.75" customHeight="1">
      <c r="P919" s="143"/>
      <c r="Q919" s="144"/>
    </row>
    <row r="920" ht="15.75" customHeight="1">
      <c r="P920" s="143"/>
      <c r="Q920" s="144"/>
    </row>
    <row r="921" ht="15.75" customHeight="1">
      <c r="P921" s="143"/>
      <c r="Q921" s="144"/>
    </row>
    <row r="922" ht="15.75" customHeight="1">
      <c r="P922" s="143"/>
      <c r="Q922" s="144"/>
    </row>
    <row r="923" ht="15.75" customHeight="1">
      <c r="P923" s="143"/>
      <c r="Q923" s="144"/>
    </row>
    <row r="924" ht="15.75" customHeight="1">
      <c r="P924" s="143"/>
      <c r="Q924" s="144"/>
    </row>
    <row r="925" ht="15.75" customHeight="1">
      <c r="P925" s="143"/>
      <c r="Q925" s="144"/>
    </row>
    <row r="926" ht="15.75" customHeight="1">
      <c r="P926" s="143"/>
      <c r="Q926" s="144"/>
    </row>
    <row r="927" ht="15.75" customHeight="1">
      <c r="P927" s="143"/>
      <c r="Q927" s="144"/>
    </row>
    <row r="928" ht="15.75" customHeight="1">
      <c r="P928" s="143"/>
      <c r="Q928" s="144"/>
    </row>
    <row r="929" ht="15.75" customHeight="1">
      <c r="P929" s="143"/>
      <c r="Q929" s="144"/>
    </row>
    <row r="930" ht="15.75" customHeight="1">
      <c r="P930" s="143"/>
      <c r="Q930" s="144"/>
    </row>
    <row r="931" ht="15.75" customHeight="1">
      <c r="P931" s="143"/>
      <c r="Q931" s="144"/>
    </row>
    <row r="932" ht="15.75" customHeight="1">
      <c r="P932" s="143"/>
      <c r="Q932" s="144"/>
    </row>
    <row r="933" ht="15.75" customHeight="1">
      <c r="P933" s="143"/>
      <c r="Q933" s="144"/>
    </row>
    <row r="934" ht="15.75" customHeight="1">
      <c r="P934" s="143"/>
      <c r="Q934" s="144"/>
    </row>
    <row r="935" ht="15.75" customHeight="1">
      <c r="P935" s="143"/>
      <c r="Q935" s="144"/>
    </row>
    <row r="936" ht="15.75" customHeight="1">
      <c r="P936" s="143"/>
      <c r="Q936" s="144"/>
    </row>
    <row r="937" ht="15.75" customHeight="1">
      <c r="P937" s="143"/>
      <c r="Q937" s="144"/>
    </row>
    <row r="938" ht="15.75" customHeight="1">
      <c r="P938" s="143"/>
      <c r="Q938" s="144"/>
    </row>
    <row r="939" ht="15.75" customHeight="1">
      <c r="P939" s="143"/>
      <c r="Q939" s="144"/>
    </row>
    <row r="940" ht="15.75" customHeight="1">
      <c r="P940" s="143"/>
      <c r="Q940" s="144"/>
    </row>
    <row r="941" ht="15.75" customHeight="1">
      <c r="P941" s="143"/>
      <c r="Q941" s="144"/>
    </row>
    <row r="942" ht="15.75" customHeight="1">
      <c r="P942" s="143"/>
      <c r="Q942" s="144"/>
    </row>
    <row r="943" ht="15.75" customHeight="1">
      <c r="P943" s="143"/>
      <c r="Q943" s="144"/>
    </row>
    <row r="944" ht="15.75" customHeight="1">
      <c r="P944" s="143"/>
      <c r="Q944" s="144"/>
    </row>
    <row r="945" ht="15.75" customHeight="1">
      <c r="P945" s="143"/>
      <c r="Q945" s="144"/>
    </row>
    <row r="946" ht="15.75" customHeight="1">
      <c r="P946" s="143"/>
      <c r="Q946" s="144"/>
    </row>
    <row r="947" ht="15.75" customHeight="1">
      <c r="P947" s="143"/>
      <c r="Q947" s="144"/>
    </row>
    <row r="948" ht="15.75" customHeight="1">
      <c r="P948" s="143"/>
      <c r="Q948" s="144"/>
    </row>
    <row r="949" ht="15.75" customHeight="1">
      <c r="P949" s="143"/>
      <c r="Q949" s="144"/>
    </row>
    <row r="950" ht="15.75" customHeight="1">
      <c r="P950" s="143"/>
      <c r="Q950" s="144"/>
    </row>
    <row r="951" ht="15.75" customHeight="1">
      <c r="P951" s="143"/>
      <c r="Q951" s="144"/>
    </row>
    <row r="952" ht="15.75" customHeight="1">
      <c r="P952" s="143"/>
      <c r="Q952" s="144"/>
    </row>
    <row r="953" ht="15.75" customHeight="1">
      <c r="P953" s="143"/>
      <c r="Q953" s="144"/>
    </row>
    <row r="954" ht="15.75" customHeight="1">
      <c r="P954" s="143"/>
      <c r="Q954" s="144"/>
    </row>
    <row r="955" ht="15.75" customHeight="1">
      <c r="P955" s="143"/>
      <c r="Q955" s="144"/>
    </row>
    <row r="956" ht="15.75" customHeight="1">
      <c r="P956" s="143"/>
      <c r="Q956" s="144"/>
    </row>
    <row r="957" ht="15.75" customHeight="1">
      <c r="P957" s="143"/>
      <c r="Q957" s="144"/>
    </row>
    <row r="958" ht="15.75" customHeight="1">
      <c r="P958" s="143"/>
      <c r="Q958" s="144"/>
    </row>
    <row r="959" ht="15.75" customHeight="1">
      <c r="P959" s="143"/>
      <c r="Q959" s="144"/>
    </row>
    <row r="960" ht="15.75" customHeight="1">
      <c r="P960" s="143"/>
      <c r="Q960" s="144"/>
    </row>
    <row r="961" ht="15.75" customHeight="1">
      <c r="P961" s="143"/>
      <c r="Q961" s="144"/>
    </row>
    <row r="962" ht="15.75" customHeight="1">
      <c r="P962" s="143"/>
      <c r="Q962" s="144"/>
    </row>
    <row r="963" ht="15.75" customHeight="1">
      <c r="P963" s="143"/>
      <c r="Q963" s="144"/>
    </row>
    <row r="964" ht="15.75" customHeight="1">
      <c r="P964" s="143"/>
      <c r="Q964" s="144"/>
    </row>
    <row r="965" ht="15.75" customHeight="1">
      <c r="P965" s="143"/>
      <c r="Q965" s="144"/>
    </row>
    <row r="966" ht="15.75" customHeight="1">
      <c r="P966" s="143"/>
      <c r="Q966" s="144"/>
    </row>
    <row r="967" ht="15.75" customHeight="1">
      <c r="P967" s="143"/>
      <c r="Q967" s="144"/>
    </row>
    <row r="968" ht="15.75" customHeight="1">
      <c r="P968" s="143"/>
      <c r="Q968" s="144"/>
    </row>
    <row r="969" ht="15.75" customHeight="1">
      <c r="P969" s="143"/>
      <c r="Q969" s="144"/>
    </row>
    <row r="970" ht="15.75" customHeight="1">
      <c r="P970" s="143"/>
      <c r="Q970" s="144"/>
    </row>
    <row r="971" ht="15.75" customHeight="1">
      <c r="P971" s="143"/>
      <c r="Q971" s="144"/>
    </row>
    <row r="972" ht="15.75" customHeight="1">
      <c r="P972" s="143"/>
      <c r="Q972" s="144"/>
    </row>
    <row r="973" ht="15.75" customHeight="1">
      <c r="P973" s="143"/>
      <c r="Q973" s="144"/>
    </row>
    <row r="974" ht="15.75" customHeight="1">
      <c r="P974" s="143"/>
      <c r="Q974" s="144"/>
    </row>
    <row r="975" ht="15.75" customHeight="1">
      <c r="P975" s="143"/>
      <c r="Q975" s="144"/>
    </row>
    <row r="976" ht="15.75" customHeight="1">
      <c r="P976" s="143"/>
      <c r="Q976" s="144"/>
    </row>
    <row r="977" ht="15.75" customHeight="1">
      <c r="P977" s="143"/>
      <c r="Q977" s="144"/>
    </row>
    <row r="978" ht="15.75" customHeight="1">
      <c r="P978" s="143"/>
      <c r="Q978" s="144"/>
    </row>
    <row r="979" ht="15.75" customHeight="1">
      <c r="P979" s="143"/>
      <c r="Q979" s="144"/>
    </row>
    <row r="980" ht="15.75" customHeight="1">
      <c r="P980" s="143"/>
      <c r="Q980" s="144"/>
    </row>
    <row r="981" ht="15.75" customHeight="1">
      <c r="P981" s="143"/>
      <c r="Q981" s="144"/>
    </row>
    <row r="982" ht="15.75" customHeight="1">
      <c r="P982" s="143"/>
      <c r="Q982" s="144"/>
    </row>
    <row r="983" ht="15.75" customHeight="1">
      <c r="P983" s="143"/>
      <c r="Q983" s="144"/>
    </row>
    <row r="984" ht="15.75" customHeight="1">
      <c r="P984" s="143"/>
      <c r="Q984" s="144"/>
    </row>
    <row r="985" ht="15.75" customHeight="1">
      <c r="P985" s="143"/>
      <c r="Q985" s="144"/>
    </row>
    <row r="986" ht="15.75" customHeight="1">
      <c r="P986" s="143"/>
      <c r="Q986" s="144"/>
    </row>
    <row r="987" ht="15.75" customHeight="1">
      <c r="P987" s="143"/>
      <c r="Q987" s="144"/>
    </row>
    <row r="988" ht="15.75" customHeight="1">
      <c r="P988" s="143"/>
      <c r="Q988" s="144"/>
    </row>
    <row r="989" ht="15.75" customHeight="1">
      <c r="P989" s="143"/>
      <c r="Q989" s="144"/>
    </row>
    <row r="990" ht="15.75" customHeight="1">
      <c r="P990" s="143"/>
      <c r="Q990" s="144"/>
    </row>
    <row r="991" ht="15.75" customHeight="1">
      <c r="P991" s="143"/>
      <c r="Q991" s="144"/>
    </row>
    <row r="992" ht="15.75" customHeight="1">
      <c r="P992" s="143"/>
      <c r="Q992" s="144"/>
    </row>
    <row r="993" ht="15.75" customHeight="1">
      <c r="P993" s="143"/>
      <c r="Q993" s="144"/>
    </row>
    <row r="994" ht="15.75" customHeight="1">
      <c r="P994" s="143"/>
      <c r="Q994" s="144"/>
    </row>
    <row r="995" ht="15.75" customHeight="1">
      <c r="P995" s="143"/>
      <c r="Q995" s="144"/>
    </row>
    <row r="996" ht="15.75" customHeight="1">
      <c r="P996" s="143"/>
      <c r="Q996" s="144"/>
    </row>
    <row r="997" ht="15.75" customHeight="1">
      <c r="P997" s="143"/>
      <c r="Q997" s="144"/>
    </row>
    <row r="998" ht="15.75" customHeight="1">
      <c r="P998" s="143"/>
      <c r="Q998" s="144"/>
    </row>
    <row r="999" ht="15.75" customHeight="1">
      <c r="P999" s="143"/>
      <c r="Q999" s="144"/>
    </row>
    <row r="1000" ht="15.75" customHeight="1">
      <c r="P1000" s="143"/>
      <c r="Q1000" s="144"/>
    </row>
  </sheetData>
  <mergeCells count="1">
    <mergeCell ref="A1:O1"/>
  </mergeCells>
  <printOptions/>
  <pageMargins bottom="0.75" footer="0.0" header="0.0" left="0.25" right="0.25" top="0.75"/>
  <pageSetup orientation="landscape"/>
  <drawing r:id="rId1"/>
</worksheet>
</file>